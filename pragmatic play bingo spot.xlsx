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刮刮卡数值相关设定\"/>
    </mc:Choice>
  </mc:AlternateContent>
  <xr:revisionPtr revIDLastSave="0" documentId="8_{651A0CA4-FBC9-4705-A9F3-472D700F7BDC}" xr6:coauthVersionLast="47" xr6:coauthVersionMax="47" xr10:uidLastSave="{00000000-0000-0000-0000-000000000000}"/>
  <bookViews>
    <workbookView xWindow="-120" yWindow="-120" windowWidth="29040" windowHeight="15720" xr2:uid="{15E40CD0-D5ED-4D87-A326-4A9E909EF06A}"/>
  </bookViews>
  <sheets>
    <sheet name="total rtp" sheetId="5" r:id="rId1"/>
    <sheet name="line prabability check" sheetId="2" r:id="rId2"/>
    <sheet name="ball combine if wild" sheetId="7" r:id="rId3"/>
    <sheet name="ball combine if not wild" sheetId="3" r:id="rId4"/>
    <sheet name="rtp before multiplier" sheetId="4" r:id="rId5"/>
    <sheet name="multipier" sheetId="6" r:id="rId6"/>
  </sheets>
  <definedNames>
    <definedName name="_xlnm._FilterDatabase" localSheetId="3" hidden="1">'ball combine if not wild'!$A$1:$R$513</definedName>
    <definedName name="_xlnm._FilterDatabase" localSheetId="2" hidden="1">'ball combine if wild'!$A$1:$R$513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4" l="1"/>
  <c r="P16" i="4"/>
  <c r="P17" i="4"/>
  <c r="P18" i="4"/>
  <c r="P14" i="4"/>
  <c r="Q15" i="5"/>
  <c r="Q14" i="5"/>
  <c r="Q13" i="5"/>
  <c r="Q12" i="5"/>
  <c r="Q11" i="5"/>
  <c r="S2" i="3"/>
  <c r="T2" i="7"/>
  <c r="U2" i="7"/>
  <c r="V2" i="7"/>
  <c r="W2" i="7"/>
  <c r="S2" i="7"/>
  <c r="R51" i="7"/>
  <c r="P51" i="7"/>
  <c r="O51" i="7"/>
  <c r="N51" i="7"/>
  <c r="M51" i="7"/>
  <c r="L51" i="7"/>
  <c r="K51" i="7"/>
  <c r="J51" i="7"/>
  <c r="I51" i="7"/>
  <c r="H51" i="7"/>
  <c r="R50" i="7"/>
  <c r="P50" i="7"/>
  <c r="O50" i="7"/>
  <c r="N50" i="7"/>
  <c r="M50" i="7"/>
  <c r="L50" i="7"/>
  <c r="K50" i="7"/>
  <c r="J50" i="7"/>
  <c r="I50" i="7"/>
  <c r="H50" i="7"/>
  <c r="R49" i="7"/>
  <c r="P49" i="7"/>
  <c r="O49" i="7"/>
  <c r="N49" i="7"/>
  <c r="M49" i="7"/>
  <c r="L49" i="7"/>
  <c r="K49" i="7"/>
  <c r="J49" i="7"/>
  <c r="I49" i="7"/>
  <c r="H49" i="7"/>
  <c r="R48" i="7"/>
  <c r="P48" i="7"/>
  <c r="O48" i="7"/>
  <c r="N48" i="7"/>
  <c r="M48" i="7"/>
  <c r="L48" i="7"/>
  <c r="K48" i="7"/>
  <c r="J48" i="7"/>
  <c r="I48" i="7"/>
  <c r="H48" i="7"/>
  <c r="R47" i="7"/>
  <c r="P47" i="7"/>
  <c r="O47" i="7"/>
  <c r="N47" i="7"/>
  <c r="M47" i="7"/>
  <c r="L47" i="7"/>
  <c r="K47" i="7"/>
  <c r="J47" i="7"/>
  <c r="I47" i="7"/>
  <c r="H47" i="7"/>
  <c r="R46" i="7"/>
  <c r="P46" i="7"/>
  <c r="O46" i="7"/>
  <c r="N46" i="7"/>
  <c r="M46" i="7"/>
  <c r="L46" i="7"/>
  <c r="K46" i="7"/>
  <c r="J46" i="7"/>
  <c r="I46" i="7"/>
  <c r="H46" i="7"/>
  <c r="R45" i="7"/>
  <c r="P45" i="7"/>
  <c r="O45" i="7"/>
  <c r="N45" i="7"/>
  <c r="M45" i="7"/>
  <c r="L45" i="7"/>
  <c r="K45" i="7"/>
  <c r="J45" i="7"/>
  <c r="I45" i="7"/>
  <c r="H45" i="7"/>
  <c r="R44" i="7"/>
  <c r="P44" i="7"/>
  <c r="O44" i="7"/>
  <c r="N44" i="7"/>
  <c r="M44" i="7"/>
  <c r="L44" i="7"/>
  <c r="K44" i="7"/>
  <c r="J44" i="7"/>
  <c r="I44" i="7"/>
  <c r="H44" i="7"/>
  <c r="R43" i="7"/>
  <c r="P43" i="7"/>
  <c r="O43" i="7"/>
  <c r="N43" i="7"/>
  <c r="M43" i="7"/>
  <c r="L43" i="7"/>
  <c r="K43" i="7"/>
  <c r="J43" i="7"/>
  <c r="I43" i="7"/>
  <c r="H43" i="7"/>
  <c r="R42" i="7"/>
  <c r="P42" i="7"/>
  <c r="O42" i="7"/>
  <c r="N42" i="7"/>
  <c r="M42" i="7"/>
  <c r="L42" i="7"/>
  <c r="K42" i="7"/>
  <c r="J42" i="7"/>
  <c r="I42" i="7"/>
  <c r="H42" i="7"/>
  <c r="R41" i="7"/>
  <c r="P41" i="7"/>
  <c r="O41" i="7"/>
  <c r="N41" i="7"/>
  <c r="M41" i="7"/>
  <c r="L41" i="7"/>
  <c r="K41" i="7"/>
  <c r="J41" i="7"/>
  <c r="I41" i="7"/>
  <c r="H41" i="7"/>
  <c r="R40" i="7"/>
  <c r="P40" i="7"/>
  <c r="O40" i="7"/>
  <c r="N40" i="7"/>
  <c r="M40" i="7"/>
  <c r="L40" i="7"/>
  <c r="K40" i="7"/>
  <c r="J40" i="7"/>
  <c r="I40" i="7"/>
  <c r="H40" i="7"/>
  <c r="R39" i="7"/>
  <c r="P39" i="7"/>
  <c r="O39" i="7"/>
  <c r="N39" i="7"/>
  <c r="M39" i="7"/>
  <c r="L39" i="7"/>
  <c r="K39" i="7"/>
  <c r="J39" i="7"/>
  <c r="I39" i="7"/>
  <c r="H39" i="7"/>
  <c r="R38" i="7"/>
  <c r="P38" i="7"/>
  <c r="O38" i="7"/>
  <c r="N38" i="7"/>
  <c r="M38" i="7"/>
  <c r="L38" i="7"/>
  <c r="K38" i="7"/>
  <c r="J38" i="7"/>
  <c r="I38" i="7"/>
  <c r="H38" i="7"/>
  <c r="R37" i="7"/>
  <c r="P37" i="7"/>
  <c r="O37" i="7"/>
  <c r="N37" i="7"/>
  <c r="M37" i="7"/>
  <c r="L37" i="7"/>
  <c r="K37" i="7"/>
  <c r="J37" i="7"/>
  <c r="I37" i="7"/>
  <c r="H37" i="7"/>
  <c r="R36" i="7"/>
  <c r="P36" i="7"/>
  <c r="O36" i="7"/>
  <c r="N36" i="7"/>
  <c r="M36" i="7"/>
  <c r="L36" i="7"/>
  <c r="K36" i="7"/>
  <c r="J36" i="7"/>
  <c r="I36" i="7"/>
  <c r="H36" i="7"/>
  <c r="R35" i="7"/>
  <c r="P35" i="7"/>
  <c r="O35" i="7"/>
  <c r="N35" i="7"/>
  <c r="M35" i="7"/>
  <c r="L35" i="7"/>
  <c r="K35" i="7"/>
  <c r="J35" i="7"/>
  <c r="I35" i="7"/>
  <c r="H35" i="7"/>
  <c r="R34" i="7"/>
  <c r="P34" i="7"/>
  <c r="O34" i="7"/>
  <c r="N34" i="7"/>
  <c r="M34" i="7"/>
  <c r="L34" i="7"/>
  <c r="K34" i="7"/>
  <c r="J34" i="7"/>
  <c r="I34" i="7"/>
  <c r="H34" i="7"/>
  <c r="R33" i="7"/>
  <c r="P33" i="7"/>
  <c r="O33" i="7"/>
  <c r="N33" i="7"/>
  <c r="M33" i="7"/>
  <c r="L33" i="7"/>
  <c r="K33" i="7"/>
  <c r="J33" i="7"/>
  <c r="I33" i="7"/>
  <c r="H33" i="7"/>
  <c r="R32" i="7"/>
  <c r="P32" i="7"/>
  <c r="O32" i="7"/>
  <c r="N32" i="7"/>
  <c r="M32" i="7"/>
  <c r="L32" i="7"/>
  <c r="K32" i="7"/>
  <c r="J32" i="7"/>
  <c r="I32" i="7"/>
  <c r="H32" i="7"/>
  <c r="R31" i="7"/>
  <c r="P31" i="7"/>
  <c r="O31" i="7"/>
  <c r="N31" i="7"/>
  <c r="M31" i="7"/>
  <c r="L31" i="7"/>
  <c r="K31" i="7"/>
  <c r="J31" i="7"/>
  <c r="I31" i="7"/>
  <c r="H31" i="7"/>
  <c r="R30" i="7"/>
  <c r="P30" i="7"/>
  <c r="O30" i="7"/>
  <c r="N30" i="7"/>
  <c r="M30" i="7"/>
  <c r="L30" i="7"/>
  <c r="K30" i="7"/>
  <c r="J30" i="7"/>
  <c r="I30" i="7"/>
  <c r="H30" i="7"/>
  <c r="R29" i="7"/>
  <c r="P29" i="7"/>
  <c r="O29" i="7"/>
  <c r="N29" i="7"/>
  <c r="M29" i="7"/>
  <c r="L29" i="7"/>
  <c r="K29" i="7"/>
  <c r="J29" i="7"/>
  <c r="I29" i="7"/>
  <c r="H29" i="7"/>
  <c r="R28" i="7"/>
  <c r="P28" i="7"/>
  <c r="O28" i="7"/>
  <c r="N28" i="7"/>
  <c r="M28" i="7"/>
  <c r="L28" i="7"/>
  <c r="K28" i="7"/>
  <c r="J28" i="7"/>
  <c r="I28" i="7"/>
  <c r="H28" i="7"/>
  <c r="R27" i="7"/>
  <c r="P27" i="7"/>
  <c r="O27" i="7"/>
  <c r="N27" i="7"/>
  <c r="M27" i="7"/>
  <c r="L27" i="7"/>
  <c r="K27" i="7"/>
  <c r="J27" i="7"/>
  <c r="I27" i="7"/>
  <c r="H27" i="7"/>
  <c r="R26" i="7"/>
  <c r="P26" i="7"/>
  <c r="O26" i="7"/>
  <c r="N26" i="7"/>
  <c r="M26" i="7"/>
  <c r="L26" i="7"/>
  <c r="K26" i="7"/>
  <c r="J26" i="7"/>
  <c r="I26" i="7"/>
  <c r="H26" i="7"/>
  <c r="R25" i="7"/>
  <c r="P25" i="7"/>
  <c r="O25" i="7"/>
  <c r="N25" i="7"/>
  <c r="M25" i="7"/>
  <c r="L25" i="7"/>
  <c r="K25" i="7"/>
  <c r="J25" i="7"/>
  <c r="I25" i="7"/>
  <c r="H25" i="7"/>
  <c r="R24" i="7"/>
  <c r="P24" i="7"/>
  <c r="O24" i="7"/>
  <c r="N24" i="7"/>
  <c r="M24" i="7"/>
  <c r="L24" i="7"/>
  <c r="K24" i="7"/>
  <c r="J24" i="7"/>
  <c r="I24" i="7"/>
  <c r="H24" i="7"/>
  <c r="R23" i="7"/>
  <c r="P23" i="7"/>
  <c r="O23" i="7"/>
  <c r="N23" i="7"/>
  <c r="M23" i="7"/>
  <c r="L23" i="7"/>
  <c r="K23" i="7"/>
  <c r="J23" i="7"/>
  <c r="I23" i="7"/>
  <c r="H23" i="7"/>
  <c r="R22" i="7"/>
  <c r="P22" i="7"/>
  <c r="O22" i="7"/>
  <c r="N22" i="7"/>
  <c r="M22" i="7"/>
  <c r="L22" i="7"/>
  <c r="K22" i="7"/>
  <c r="J22" i="7"/>
  <c r="I22" i="7"/>
  <c r="H22" i="7"/>
  <c r="R21" i="7"/>
  <c r="P21" i="7"/>
  <c r="O21" i="7"/>
  <c r="N21" i="7"/>
  <c r="M21" i="7"/>
  <c r="L21" i="7"/>
  <c r="K21" i="7"/>
  <c r="J21" i="7"/>
  <c r="I21" i="7"/>
  <c r="H21" i="7"/>
  <c r="R20" i="7"/>
  <c r="P20" i="7"/>
  <c r="O20" i="7"/>
  <c r="N20" i="7"/>
  <c r="M20" i="7"/>
  <c r="L20" i="7"/>
  <c r="K20" i="7"/>
  <c r="J20" i="7"/>
  <c r="I20" i="7"/>
  <c r="H20" i="7"/>
  <c r="R19" i="7"/>
  <c r="P19" i="7"/>
  <c r="O19" i="7"/>
  <c r="N19" i="7"/>
  <c r="M19" i="7"/>
  <c r="L19" i="7"/>
  <c r="K19" i="7"/>
  <c r="J19" i="7"/>
  <c r="I19" i="7"/>
  <c r="H19" i="7"/>
  <c r="R18" i="7"/>
  <c r="P18" i="7"/>
  <c r="O18" i="7"/>
  <c r="N18" i="7"/>
  <c r="M18" i="7"/>
  <c r="L18" i="7"/>
  <c r="K18" i="7"/>
  <c r="J18" i="7"/>
  <c r="I18" i="7"/>
  <c r="H18" i="7"/>
  <c r="R17" i="7"/>
  <c r="P17" i="7"/>
  <c r="O17" i="7"/>
  <c r="N17" i="7"/>
  <c r="M17" i="7"/>
  <c r="L17" i="7"/>
  <c r="K17" i="7"/>
  <c r="J17" i="7"/>
  <c r="I17" i="7"/>
  <c r="H17" i="7"/>
  <c r="R16" i="7"/>
  <c r="P16" i="7"/>
  <c r="O16" i="7"/>
  <c r="N16" i="7"/>
  <c r="M16" i="7"/>
  <c r="L16" i="7"/>
  <c r="K16" i="7"/>
  <c r="J16" i="7"/>
  <c r="I16" i="7"/>
  <c r="H16" i="7"/>
  <c r="R15" i="7"/>
  <c r="P15" i="7"/>
  <c r="O15" i="7"/>
  <c r="N15" i="7"/>
  <c r="M15" i="7"/>
  <c r="L15" i="7"/>
  <c r="K15" i="7"/>
  <c r="J15" i="7"/>
  <c r="I15" i="7"/>
  <c r="H15" i="7"/>
  <c r="R14" i="7"/>
  <c r="P14" i="7"/>
  <c r="O14" i="7"/>
  <c r="N14" i="7"/>
  <c r="M14" i="7"/>
  <c r="L14" i="7"/>
  <c r="K14" i="7"/>
  <c r="J14" i="7"/>
  <c r="I14" i="7"/>
  <c r="H14" i="7"/>
  <c r="R13" i="7"/>
  <c r="P13" i="7"/>
  <c r="O13" i="7"/>
  <c r="N13" i="7"/>
  <c r="M13" i="7"/>
  <c r="L13" i="7"/>
  <c r="K13" i="7"/>
  <c r="J13" i="7"/>
  <c r="I13" i="7"/>
  <c r="H13" i="7"/>
  <c r="R12" i="7"/>
  <c r="P12" i="7"/>
  <c r="O12" i="7"/>
  <c r="N12" i="7"/>
  <c r="M12" i="7"/>
  <c r="L12" i="7"/>
  <c r="K12" i="7"/>
  <c r="J12" i="7"/>
  <c r="I12" i="7"/>
  <c r="H12" i="7"/>
  <c r="R11" i="7"/>
  <c r="P11" i="7"/>
  <c r="O11" i="7"/>
  <c r="N11" i="7"/>
  <c r="M11" i="7"/>
  <c r="L11" i="7"/>
  <c r="K11" i="7"/>
  <c r="J11" i="7"/>
  <c r="I11" i="7"/>
  <c r="H11" i="7"/>
  <c r="R10" i="7"/>
  <c r="P10" i="7"/>
  <c r="O10" i="7"/>
  <c r="N10" i="7"/>
  <c r="M10" i="7"/>
  <c r="L10" i="7"/>
  <c r="K10" i="7"/>
  <c r="J10" i="7"/>
  <c r="I10" i="7"/>
  <c r="H10" i="7"/>
  <c r="R9" i="7"/>
  <c r="P9" i="7"/>
  <c r="O9" i="7"/>
  <c r="N9" i="7"/>
  <c r="M9" i="7"/>
  <c r="L9" i="7"/>
  <c r="K9" i="7"/>
  <c r="J9" i="7"/>
  <c r="I9" i="7"/>
  <c r="H9" i="7"/>
  <c r="R8" i="7"/>
  <c r="P8" i="7"/>
  <c r="O8" i="7"/>
  <c r="N8" i="7"/>
  <c r="M8" i="7"/>
  <c r="L8" i="7"/>
  <c r="K8" i="7"/>
  <c r="J8" i="7"/>
  <c r="I8" i="7"/>
  <c r="H8" i="7"/>
  <c r="R7" i="7"/>
  <c r="P7" i="7"/>
  <c r="O7" i="7"/>
  <c r="N7" i="7"/>
  <c r="M7" i="7"/>
  <c r="L7" i="7"/>
  <c r="K7" i="7"/>
  <c r="J7" i="7"/>
  <c r="I7" i="7"/>
  <c r="H7" i="7"/>
  <c r="R6" i="7"/>
  <c r="P6" i="7"/>
  <c r="O6" i="7"/>
  <c r="N6" i="7"/>
  <c r="M6" i="7"/>
  <c r="L6" i="7"/>
  <c r="K6" i="7"/>
  <c r="J6" i="7"/>
  <c r="I6" i="7"/>
  <c r="H6" i="7"/>
  <c r="R5" i="7"/>
  <c r="P5" i="7"/>
  <c r="O5" i="7"/>
  <c r="N5" i="7"/>
  <c r="M5" i="7"/>
  <c r="L5" i="7"/>
  <c r="K5" i="7"/>
  <c r="J5" i="7"/>
  <c r="I5" i="7"/>
  <c r="H5" i="7"/>
  <c r="R4" i="7"/>
  <c r="P4" i="7"/>
  <c r="O4" i="7"/>
  <c r="N4" i="7"/>
  <c r="M4" i="7"/>
  <c r="L4" i="7"/>
  <c r="K4" i="7"/>
  <c r="J4" i="7"/>
  <c r="I4" i="7"/>
  <c r="H4" i="7"/>
  <c r="R3" i="7"/>
  <c r="P3" i="7"/>
  <c r="O3" i="7"/>
  <c r="N3" i="7"/>
  <c r="M3" i="7"/>
  <c r="L3" i="7"/>
  <c r="K3" i="7"/>
  <c r="J3" i="7"/>
  <c r="I3" i="7"/>
  <c r="H3" i="7"/>
  <c r="R2" i="7"/>
  <c r="P2" i="7"/>
  <c r="O2" i="7"/>
  <c r="N2" i="7"/>
  <c r="M2" i="7"/>
  <c r="L2" i="7"/>
  <c r="K2" i="7"/>
  <c r="J2" i="7"/>
  <c r="I2" i="7"/>
  <c r="H2" i="7"/>
  <c r="Q33" i="7" l="1"/>
  <c r="S33" i="7" s="1"/>
  <c r="Q45" i="7"/>
  <c r="S45" i="7" s="1"/>
  <c r="Q51" i="7"/>
  <c r="Q21" i="7"/>
  <c r="Q32" i="7"/>
  <c r="Q15" i="7"/>
  <c r="Q9" i="7"/>
  <c r="Q13" i="7"/>
  <c r="Q6" i="7"/>
  <c r="Q3" i="7"/>
  <c r="Q20" i="7"/>
  <c r="Q39" i="7"/>
  <c r="Q44" i="7"/>
  <c r="Q12" i="7"/>
  <c r="Q14" i="7"/>
  <c r="Q18" i="7"/>
  <c r="Q25" i="7"/>
  <c r="Q5" i="7"/>
  <c r="Q19" i="7"/>
  <c r="Q24" i="7"/>
  <c r="Q26" i="7"/>
  <c r="Q30" i="7"/>
  <c r="Q37" i="7"/>
  <c r="Q7" i="7"/>
  <c r="Q11" i="7"/>
  <c r="Q17" i="7"/>
  <c r="Q31" i="7"/>
  <c r="Q36" i="7"/>
  <c r="Q38" i="7"/>
  <c r="Q42" i="7"/>
  <c r="Q49" i="7"/>
  <c r="Q4" i="7"/>
  <c r="Q23" i="7"/>
  <c r="Q29" i="7"/>
  <c r="Q43" i="7"/>
  <c r="Q48" i="7"/>
  <c r="Q50" i="7"/>
  <c r="Q10" i="7"/>
  <c r="Q16" i="7"/>
  <c r="Q35" i="7"/>
  <c r="Q41" i="7"/>
  <c r="Q22" i="7"/>
  <c r="Q28" i="7"/>
  <c r="Q47" i="7"/>
  <c r="Q34" i="7"/>
  <c r="Q40" i="7"/>
  <c r="Q2" i="7"/>
  <c r="Q8" i="7"/>
  <c r="Q27" i="7"/>
  <c r="Q46" i="7"/>
  <c r="T33" i="7" l="1"/>
  <c r="T45" i="7"/>
  <c r="U33" i="7"/>
  <c r="V33" i="7"/>
  <c r="V45" i="7"/>
  <c r="W33" i="7"/>
  <c r="W45" i="7"/>
  <c r="U45" i="7"/>
  <c r="U6" i="7"/>
  <c r="V6" i="7"/>
  <c r="W6" i="7"/>
  <c r="S6" i="7"/>
  <c r="T6" i="7"/>
  <c r="S4" i="7"/>
  <c r="T4" i="7"/>
  <c r="U4" i="7"/>
  <c r="V4" i="7"/>
  <c r="W4" i="7"/>
  <c r="S19" i="7"/>
  <c r="T19" i="7"/>
  <c r="U19" i="7"/>
  <c r="V19" i="7"/>
  <c r="W19" i="7"/>
  <c r="S51" i="7"/>
  <c r="T51" i="7"/>
  <c r="U51" i="7"/>
  <c r="W51" i="7"/>
  <c r="V51" i="7"/>
  <c r="S5" i="7"/>
  <c r="T5" i="7"/>
  <c r="U5" i="7"/>
  <c r="V5" i="7"/>
  <c r="W5" i="7"/>
  <c r="S41" i="7"/>
  <c r="T41" i="7"/>
  <c r="U41" i="7"/>
  <c r="V41" i="7"/>
  <c r="W41" i="7"/>
  <c r="V25" i="7"/>
  <c r="W25" i="7"/>
  <c r="S25" i="7"/>
  <c r="T25" i="7"/>
  <c r="U25" i="7"/>
  <c r="S36" i="7"/>
  <c r="T36" i="7"/>
  <c r="U36" i="7"/>
  <c r="V36" i="7"/>
  <c r="W36" i="7"/>
  <c r="S21" i="7"/>
  <c r="T21" i="7"/>
  <c r="U21" i="7"/>
  <c r="V21" i="7"/>
  <c r="W21" i="7"/>
  <c r="S16" i="7"/>
  <c r="T16" i="7"/>
  <c r="U16" i="7"/>
  <c r="V16" i="7"/>
  <c r="W16" i="7"/>
  <c r="S14" i="7"/>
  <c r="T14" i="7"/>
  <c r="U14" i="7"/>
  <c r="V14" i="7"/>
  <c r="W14" i="7"/>
  <c r="W46" i="7"/>
  <c r="S46" i="7"/>
  <c r="T46" i="7"/>
  <c r="U46" i="7"/>
  <c r="V46" i="7"/>
  <c r="S27" i="7"/>
  <c r="T27" i="7"/>
  <c r="V27" i="7"/>
  <c r="U27" i="7"/>
  <c r="W27" i="7"/>
  <c r="S50" i="7"/>
  <c r="T50" i="7"/>
  <c r="U50" i="7"/>
  <c r="V50" i="7"/>
  <c r="W50" i="7"/>
  <c r="T11" i="7"/>
  <c r="U11" i="7"/>
  <c r="V11" i="7"/>
  <c r="W11" i="7"/>
  <c r="S11" i="7"/>
  <c r="W44" i="7"/>
  <c r="S44" i="7"/>
  <c r="T44" i="7"/>
  <c r="U44" i="7"/>
  <c r="V44" i="7"/>
  <c r="S34" i="7"/>
  <c r="T34" i="7"/>
  <c r="U34" i="7"/>
  <c r="V34" i="7"/>
  <c r="W34" i="7"/>
  <c r="S26" i="7"/>
  <c r="T26" i="7"/>
  <c r="U26" i="7"/>
  <c r="V26" i="7"/>
  <c r="W26" i="7"/>
  <c r="T47" i="7"/>
  <c r="U47" i="7"/>
  <c r="V47" i="7"/>
  <c r="W47" i="7"/>
  <c r="S47" i="7"/>
  <c r="S24" i="7"/>
  <c r="T24" i="7"/>
  <c r="U24" i="7"/>
  <c r="V24" i="7"/>
  <c r="W24" i="7"/>
  <c r="S28" i="7"/>
  <c r="T28" i="7"/>
  <c r="U28" i="7"/>
  <c r="V28" i="7"/>
  <c r="W28" i="7"/>
  <c r="S9" i="7"/>
  <c r="T9" i="7"/>
  <c r="U9" i="7"/>
  <c r="V9" i="7"/>
  <c r="W9" i="7"/>
  <c r="W22" i="7"/>
  <c r="S22" i="7"/>
  <c r="T22" i="7"/>
  <c r="U22" i="7"/>
  <c r="V22" i="7"/>
  <c r="S15" i="7"/>
  <c r="T15" i="7"/>
  <c r="U15" i="7"/>
  <c r="V15" i="7"/>
  <c r="W15" i="7"/>
  <c r="S38" i="7"/>
  <c r="T38" i="7"/>
  <c r="U38" i="7"/>
  <c r="V38" i="7"/>
  <c r="W38" i="7"/>
  <c r="S31" i="7"/>
  <c r="T31" i="7"/>
  <c r="U31" i="7"/>
  <c r="V31" i="7"/>
  <c r="W31" i="7"/>
  <c r="S17" i="7"/>
  <c r="T17" i="7"/>
  <c r="U17" i="7"/>
  <c r="V17" i="7"/>
  <c r="W17" i="7"/>
  <c r="S12" i="7"/>
  <c r="T12" i="7"/>
  <c r="U12" i="7"/>
  <c r="V12" i="7"/>
  <c r="W12" i="7"/>
  <c r="W8" i="7"/>
  <c r="U8" i="7"/>
  <c r="S8" i="7"/>
  <c r="T8" i="7"/>
  <c r="V8" i="7"/>
  <c r="S48" i="7"/>
  <c r="T48" i="7"/>
  <c r="U48" i="7"/>
  <c r="V48" i="7"/>
  <c r="W48" i="7"/>
  <c r="S7" i="7"/>
  <c r="T7" i="7"/>
  <c r="U7" i="7"/>
  <c r="V7" i="7"/>
  <c r="W7" i="7"/>
  <c r="S39" i="7"/>
  <c r="T39" i="7"/>
  <c r="U39" i="7"/>
  <c r="V39" i="7"/>
  <c r="W39" i="7"/>
  <c r="T23" i="7"/>
  <c r="U23" i="7"/>
  <c r="V23" i="7"/>
  <c r="W23" i="7"/>
  <c r="S23" i="7"/>
  <c r="V13" i="7"/>
  <c r="W13" i="7"/>
  <c r="T13" i="7"/>
  <c r="S13" i="7"/>
  <c r="U13" i="7"/>
  <c r="V49" i="7"/>
  <c r="W49" i="7"/>
  <c r="S49" i="7"/>
  <c r="T49" i="7"/>
  <c r="U49" i="7"/>
  <c r="U42" i="7"/>
  <c r="V42" i="7"/>
  <c r="W42" i="7"/>
  <c r="S42" i="7"/>
  <c r="T42" i="7"/>
  <c r="W32" i="7"/>
  <c r="S32" i="7"/>
  <c r="T32" i="7"/>
  <c r="U32" i="7"/>
  <c r="V32" i="7"/>
  <c r="T35" i="7"/>
  <c r="U35" i="7"/>
  <c r="V35" i="7"/>
  <c r="W35" i="7"/>
  <c r="S35" i="7"/>
  <c r="U18" i="7"/>
  <c r="V18" i="7"/>
  <c r="W18" i="7"/>
  <c r="S18" i="7"/>
  <c r="T18" i="7"/>
  <c r="S10" i="7"/>
  <c r="W10" i="7"/>
  <c r="T10" i="7"/>
  <c r="U10" i="7"/>
  <c r="V10" i="7"/>
  <c r="S43" i="7"/>
  <c r="T43" i="7"/>
  <c r="U43" i="7"/>
  <c r="V43" i="7"/>
  <c r="W43" i="7"/>
  <c r="V37" i="7"/>
  <c r="W37" i="7"/>
  <c r="S37" i="7"/>
  <c r="T37" i="7"/>
  <c r="U37" i="7"/>
  <c r="W20" i="7"/>
  <c r="S20" i="7"/>
  <c r="T20" i="7"/>
  <c r="U20" i="7"/>
  <c r="V20" i="7"/>
  <c r="S40" i="7"/>
  <c r="T40" i="7"/>
  <c r="U40" i="7"/>
  <c r="V40" i="7"/>
  <c r="W40" i="7"/>
  <c r="S29" i="7"/>
  <c r="T29" i="7"/>
  <c r="U29" i="7"/>
  <c r="V29" i="7"/>
  <c r="W29" i="7"/>
  <c r="U30" i="7"/>
  <c r="V30" i="7"/>
  <c r="W30" i="7"/>
  <c r="S30" i="7"/>
  <c r="T30" i="7"/>
  <c r="T3" i="7"/>
  <c r="U3" i="7"/>
  <c r="V3" i="7"/>
  <c r="W3" i="7"/>
  <c r="S3" i="7"/>
  <c r="G3" i="6"/>
  <c r="H3" i="6" s="1"/>
  <c r="G4" i="6"/>
  <c r="H4" i="6" s="1"/>
  <c r="G5" i="6"/>
  <c r="H5" i="6" s="1"/>
  <c r="G2" i="6"/>
  <c r="H2" i="6" s="1"/>
  <c r="H2" i="5"/>
  <c r="P3" i="5"/>
  <c r="K2" i="6" a="1"/>
  <c r="R2" i="6" a="1"/>
  <c r="R2" i="6" s="1"/>
  <c r="V2" i="6" s="1" a="1"/>
  <c r="V2" i="6" s="1"/>
  <c r="Z2" i="6" a="1"/>
  <c r="Z2" i="6" s="1"/>
  <c r="AD2" i="6" s="1"/>
  <c r="AI2" i="6" a="1"/>
  <c r="AO42" i="6" s="1" a="1"/>
  <c r="AO42" i="6" s="1"/>
  <c r="M1" i="5"/>
  <c r="K2" i="6" l="1"/>
  <c r="N2" i="6" s="1" a="1"/>
  <c r="N2" i="6" s="1"/>
  <c r="M10" i="6"/>
  <c r="M13" i="6"/>
  <c r="N13" i="6" a="1"/>
  <c r="N13" i="6" s="1"/>
  <c r="N10" i="6" a="1"/>
  <c r="N10" i="6" s="1"/>
  <c r="M11" i="6"/>
  <c r="N11" i="6" a="1"/>
  <c r="N11" i="6" s="1"/>
  <c r="M12" i="6"/>
  <c r="N12" i="6" a="1"/>
  <c r="N12" i="6" s="1"/>
  <c r="H64" i="5"/>
  <c r="H114" i="5"/>
  <c r="H80" i="5"/>
  <c r="H70" i="5"/>
  <c r="H36" i="5"/>
  <c r="H86" i="5"/>
  <c r="H46" i="5"/>
  <c r="H166" i="5"/>
  <c r="H120" i="5"/>
  <c r="H154" i="5"/>
  <c r="H142" i="5"/>
  <c r="H138" i="5"/>
  <c r="H92" i="5"/>
  <c r="H52" i="5"/>
  <c r="H40" i="5"/>
  <c r="H98" i="5"/>
  <c r="H108" i="5"/>
  <c r="H104" i="5"/>
  <c r="H58" i="5"/>
  <c r="H132" i="5"/>
  <c r="H160" i="5"/>
  <c r="H126" i="5"/>
  <c r="H148" i="5"/>
  <c r="H74" i="5"/>
  <c r="H30" i="5"/>
  <c r="H24" i="5"/>
  <c r="H18" i="5"/>
  <c r="H12" i="5"/>
  <c r="H6" i="5"/>
  <c r="D148" i="5"/>
  <c r="D144" i="5"/>
  <c r="D140" i="5"/>
  <c r="D136" i="5"/>
  <c r="D132" i="5"/>
  <c r="D87" i="5"/>
  <c r="D64" i="5"/>
  <c r="D57" i="5"/>
  <c r="D54" i="5"/>
  <c r="D47" i="5"/>
  <c r="D40" i="5"/>
  <c r="D94" i="5"/>
  <c r="D171" i="5"/>
  <c r="D167" i="5"/>
  <c r="D163" i="5"/>
  <c r="D159" i="5"/>
  <c r="D125" i="5"/>
  <c r="D121" i="5"/>
  <c r="D100" i="5"/>
  <c r="D67" i="5"/>
  <c r="D50" i="5"/>
  <c r="D43" i="5"/>
  <c r="D155" i="5"/>
  <c r="D151" i="5"/>
  <c r="D128" i="5"/>
  <c r="D117" i="5"/>
  <c r="D114" i="5"/>
  <c r="D110" i="5"/>
  <c r="D103" i="5"/>
  <c r="D83" i="5"/>
  <c r="D80" i="5"/>
  <c r="D77" i="5"/>
  <c r="D147" i="5"/>
  <c r="D143" i="5"/>
  <c r="D139" i="5"/>
  <c r="D135" i="5"/>
  <c r="D131" i="5"/>
  <c r="D106" i="5"/>
  <c r="D96" i="5"/>
  <c r="D93" i="5"/>
  <c r="D90" i="5"/>
  <c r="D86" i="5"/>
  <c r="D73" i="5"/>
  <c r="D70" i="5"/>
  <c r="D63" i="5"/>
  <c r="D60" i="5"/>
  <c r="D53" i="5"/>
  <c r="D46" i="5"/>
  <c r="D39" i="5"/>
  <c r="D36" i="5"/>
  <c r="D170" i="5"/>
  <c r="D166" i="5"/>
  <c r="D162" i="5"/>
  <c r="D158" i="5"/>
  <c r="D124" i="5"/>
  <c r="D120" i="5"/>
  <c r="D99" i="5"/>
  <c r="D56" i="5"/>
  <c r="D49" i="5"/>
  <c r="D152" i="5"/>
  <c r="D154" i="5"/>
  <c r="D113" i="5"/>
  <c r="D109" i="5"/>
  <c r="D76" i="5"/>
  <c r="D78" i="5"/>
  <c r="D150" i="5"/>
  <c r="D146" i="5"/>
  <c r="D142" i="5"/>
  <c r="D138" i="5"/>
  <c r="D134" i="5"/>
  <c r="D116" i="5"/>
  <c r="D105" i="5"/>
  <c r="D95" i="5"/>
  <c r="D92" i="5"/>
  <c r="D89" i="5"/>
  <c r="D79" i="5"/>
  <c r="D69" i="5"/>
  <c r="D66" i="5"/>
  <c r="D59" i="5"/>
  <c r="D52" i="5"/>
  <c r="D45" i="5"/>
  <c r="D42" i="5"/>
  <c r="D169" i="5"/>
  <c r="D165" i="5"/>
  <c r="D161" i="5"/>
  <c r="D157" i="5"/>
  <c r="D130" i="5"/>
  <c r="D127" i="5"/>
  <c r="D123" i="5"/>
  <c r="D119" i="5"/>
  <c r="D102" i="5"/>
  <c r="D98" i="5"/>
  <c r="D85" i="5"/>
  <c r="D82" i="5"/>
  <c r="D72" i="5"/>
  <c r="D62" i="5"/>
  <c r="D55" i="5"/>
  <c r="D38" i="5"/>
  <c r="D156" i="5"/>
  <c r="D84" i="5"/>
  <c r="D153" i="5"/>
  <c r="D112" i="5"/>
  <c r="D108" i="5"/>
  <c r="D75" i="5"/>
  <c r="D149" i="5"/>
  <c r="D145" i="5"/>
  <c r="D141" i="5"/>
  <c r="D137" i="5"/>
  <c r="D133" i="5"/>
  <c r="D88" i="5"/>
  <c r="D65" i="5"/>
  <c r="D58" i="5"/>
  <c r="D51" i="5"/>
  <c r="D48" i="5"/>
  <c r="D41" i="5"/>
  <c r="D81" i="5"/>
  <c r="D168" i="5"/>
  <c r="D164" i="5"/>
  <c r="D160" i="5"/>
  <c r="D129" i="5"/>
  <c r="D126" i="5"/>
  <c r="D122" i="5"/>
  <c r="D104" i="5"/>
  <c r="D101" i="5"/>
  <c r="D91" i="5"/>
  <c r="D71" i="5"/>
  <c r="D68" i="5"/>
  <c r="D61" i="5"/>
  <c r="D44" i="5"/>
  <c r="D37" i="5"/>
  <c r="D118" i="5"/>
  <c r="D115" i="5"/>
  <c r="D111" i="5"/>
  <c r="D107" i="5"/>
  <c r="D97" i="5"/>
  <c r="D74" i="5"/>
  <c r="I1" i="6"/>
  <c r="P4" i="5" s="1"/>
  <c r="M17" i="6"/>
  <c r="M5" i="6"/>
  <c r="N9" i="6" a="1"/>
  <c r="N9" i="6" s="1"/>
  <c r="M16" i="6"/>
  <c r="M4" i="6"/>
  <c r="N8" i="6" a="1"/>
  <c r="N8" i="6" s="1"/>
  <c r="M15" i="6"/>
  <c r="M3" i="6"/>
  <c r="N7" i="6" a="1"/>
  <c r="N7" i="6" s="1"/>
  <c r="M7" i="6"/>
  <c r="M14" i="6"/>
  <c r="N6" i="6" a="1"/>
  <c r="N6" i="6" s="1"/>
  <c r="N17" i="6" a="1"/>
  <c r="N17" i="6" s="1"/>
  <c r="N5" i="6" a="1"/>
  <c r="N5" i="6" s="1"/>
  <c r="N16" i="6" a="1"/>
  <c r="N16" i="6" s="1"/>
  <c r="N4" i="6" a="1"/>
  <c r="N4" i="6" s="1"/>
  <c r="M2" i="6"/>
  <c r="M6" i="6"/>
  <c r="N15" i="6" a="1"/>
  <c r="N15" i="6" s="1"/>
  <c r="N3" i="6" a="1"/>
  <c r="N3" i="6" s="1"/>
  <c r="N14" i="6" a="1"/>
  <c r="N14" i="6" s="1"/>
  <c r="M9" i="6"/>
  <c r="M8" i="6"/>
  <c r="V10" i="6" a="1"/>
  <c r="V10" i="6" s="1"/>
  <c r="V63" i="6" a="1"/>
  <c r="V63" i="6" s="1"/>
  <c r="V30" i="6" a="1"/>
  <c r="V30" i="6" s="1"/>
  <c r="V62" i="6" a="1"/>
  <c r="V62" i="6" s="1"/>
  <c r="V39" i="6" a="1"/>
  <c r="V39" i="6" s="1"/>
  <c r="V29" i="6" a="1"/>
  <c r="V29" i="6" s="1"/>
  <c r="V13" i="6" a="1"/>
  <c r="V13" i="6" s="1"/>
  <c r="U47" i="6"/>
  <c r="U23" i="6"/>
  <c r="V61" i="6" a="1"/>
  <c r="V61" i="6" s="1"/>
  <c r="V38" i="6" a="1"/>
  <c r="V38" i="6" s="1"/>
  <c r="V60" i="6" a="1"/>
  <c r="V60" i="6" s="1"/>
  <c r="V48" i="6" a="1"/>
  <c r="V48" i="6" s="1"/>
  <c r="V37" i="6" a="1"/>
  <c r="V37" i="6" s="1"/>
  <c r="V27" i="6" a="1"/>
  <c r="V27" i="6" s="1"/>
  <c r="V19" i="6" a="1"/>
  <c r="V19" i="6" s="1"/>
  <c r="V12" i="6" a="1"/>
  <c r="V12" i="6" s="1"/>
  <c r="V4" i="6" a="1"/>
  <c r="V4" i="6" s="1"/>
  <c r="U57" i="6"/>
  <c r="U45" i="6"/>
  <c r="U33" i="6"/>
  <c r="U21" i="6"/>
  <c r="U9" i="6"/>
  <c r="V57" i="6" a="1"/>
  <c r="V57" i="6" s="1"/>
  <c r="V45" i="6" a="1"/>
  <c r="V45" i="6" s="1"/>
  <c r="V34" i="6" a="1"/>
  <c r="V34" i="6" s="1"/>
  <c r="V25" i="6" a="1"/>
  <c r="V25" i="6" s="1"/>
  <c r="V17" i="6" a="1"/>
  <c r="V17" i="6" s="1"/>
  <c r="U2" i="6"/>
  <c r="W2" i="6" s="1"/>
  <c r="U54" i="6"/>
  <c r="U42" i="6"/>
  <c r="U30" i="6"/>
  <c r="U18" i="6"/>
  <c r="U6" i="6"/>
  <c r="V59" i="6" a="1"/>
  <c r="V59" i="6" s="1"/>
  <c r="U32" i="6"/>
  <c r="V3" i="6" a="1"/>
  <c r="V3" i="6" s="1"/>
  <c r="V9" i="6" a="1"/>
  <c r="V9" i="6" s="1"/>
  <c r="U53" i="6"/>
  <c r="U41" i="6"/>
  <c r="U17" i="6"/>
  <c r="U5" i="6"/>
  <c r="V55" i="6" a="1"/>
  <c r="V55" i="6" s="1"/>
  <c r="V44" i="6" a="1"/>
  <c r="V44" i="6" s="1"/>
  <c r="V24" i="6" a="1"/>
  <c r="V24" i="6" s="1"/>
  <c r="U64" i="6"/>
  <c r="U52" i="6"/>
  <c r="U40" i="6"/>
  <c r="U28" i="6"/>
  <c r="U16" i="6"/>
  <c r="U4" i="6"/>
  <c r="V26" i="6" a="1"/>
  <c r="V26" i="6" s="1"/>
  <c r="U44" i="6"/>
  <c r="V46" i="6" a="1"/>
  <c r="V46" i="6" s="1"/>
  <c r="U43" i="6"/>
  <c r="V33" i="6" a="1"/>
  <c r="V33" i="6" s="1"/>
  <c r="V16" i="6" a="1"/>
  <c r="V16" i="6" s="1"/>
  <c r="U65" i="6"/>
  <c r="U29" i="6"/>
  <c r="V54" i="6" a="1"/>
  <c r="V54" i="6" s="1"/>
  <c r="V43" i="6" a="1"/>
  <c r="V43" i="6" s="1"/>
  <c r="V32" i="6" a="1"/>
  <c r="V32" i="6" s="1"/>
  <c r="V23" i="6" a="1"/>
  <c r="V23" i="6" s="1"/>
  <c r="V15" i="6" a="1"/>
  <c r="V15" i="6" s="1"/>
  <c r="V8" i="6" a="1"/>
  <c r="V8" i="6" s="1"/>
  <c r="U63" i="6"/>
  <c r="U51" i="6"/>
  <c r="U39" i="6"/>
  <c r="U27" i="6"/>
  <c r="U15" i="6"/>
  <c r="U3" i="6"/>
  <c r="V11" i="6" a="1"/>
  <c r="V11" i="6" s="1"/>
  <c r="U55" i="6"/>
  <c r="V22" i="6" a="1"/>
  <c r="V22" i="6" s="1"/>
  <c r="U62" i="6"/>
  <c r="U14" i="6"/>
  <c r="V65" i="6" a="1"/>
  <c r="V65" i="6" s="1"/>
  <c r="V53" i="6" a="1"/>
  <c r="V53" i="6" s="1"/>
  <c r="V42" i="6" a="1"/>
  <c r="V42" i="6" s="1"/>
  <c r="V31" i="6" a="1"/>
  <c r="V31" i="6" s="1"/>
  <c r="U50" i="6"/>
  <c r="U38" i="6"/>
  <c r="U26" i="6"/>
  <c r="V64" i="6" a="1"/>
  <c r="V64" i="6" s="1"/>
  <c r="V52" i="6" a="1"/>
  <c r="V52" i="6" s="1"/>
  <c r="V41" i="6" a="1"/>
  <c r="V41" i="6" s="1"/>
  <c r="V21" i="6" a="1"/>
  <c r="V21" i="6" s="1"/>
  <c r="V14" i="6" a="1"/>
  <c r="V14" i="6" s="1"/>
  <c r="V7" i="6" a="1"/>
  <c r="V7" i="6" s="1"/>
  <c r="U61" i="6"/>
  <c r="U49" i="6"/>
  <c r="U37" i="6"/>
  <c r="U25" i="6"/>
  <c r="U13" i="6"/>
  <c r="V36" i="6" a="1"/>
  <c r="V36" i="6" s="1"/>
  <c r="U8" i="6"/>
  <c r="V35" i="6" a="1"/>
  <c r="V35" i="6" s="1"/>
  <c r="U19" i="6"/>
  <c r="V40" i="6" a="1"/>
  <c r="V40" i="6" s="1"/>
  <c r="U60" i="6"/>
  <c r="U48" i="6"/>
  <c r="U36" i="6"/>
  <c r="U24" i="6"/>
  <c r="U12" i="6"/>
  <c r="U56" i="6"/>
  <c r="V18" i="6" a="1"/>
  <c r="V18" i="6" s="1"/>
  <c r="U7" i="6"/>
  <c r="V56" i="6" a="1"/>
  <c r="V56" i="6" s="1"/>
  <c r="V6" i="6" a="1"/>
  <c r="V6" i="6" s="1"/>
  <c r="U11" i="6"/>
  <c r="V47" i="6" a="1"/>
  <c r="V47" i="6" s="1"/>
  <c r="U20" i="6"/>
  <c r="V58" i="6" a="1"/>
  <c r="V58" i="6" s="1"/>
  <c r="U31" i="6"/>
  <c r="V51" i="6" a="1"/>
  <c r="V51" i="6" s="1"/>
  <c r="V50" i="6" a="1"/>
  <c r="V50" i="6" s="1"/>
  <c r="V20" i="6" a="1"/>
  <c r="V20" i="6" s="1"/>
  <c r="U59" i="6"/>
  <c r="U35" i="6"/>
  <c r="V49" i="6" a="1"/>
  <c r="V49" i="6" s="1"/>
  <c r="V28" i="6" a="1"/>
  <c r="V28" i="6" s="1"/>
  <c r="V5" i="6" a="1"/>
  <c r="V5" i="6" s="1"/>
  <c r="U58" i="6"/>
  <c r="U46" i="6"/>
  <c r="U34" i="6"/>
  <c r="U22" i="6"/>
  <c r="U10" i="6"/>
  <c r="AD167" i="6"/>
  <c r="AD190" i="6"/>
  <c r="AD46" i="6"/>
  <c r="AD211" i="6"/>
  <c r="AD151" i="6"/>
  <c r="AD139" i="6"/>
  <c r="AD79" i="6"/>
  <c r="AD43" i="6"/>
  <c r="AD31" i="6"/>
  <c r="AD19" i="6"/>
  <c r="AD7" i="6"/>
  <c r="AE250" i="6" a="1"/>
  <c r="AE250" i="6" s="1"/>
  <c r="AE238" i="6" a="1"/>
  <c r="AE238" i="6" s="1"/>
  <c r="AE226" i="6" a="1"/>
  <c r="AE226" i="6" s="1"/>
  <c r="AE214" i="6" a="1"/>
  <c r="AE214" i="6" s="1"/>
  <c r="AE202" i="6" a="1"/>
  <c r="AE202" i="6" s="1"/>
  <c r="AE190" i="6" a="1"/>
  <c r="AE190" i="6" s="1"/>
  <c r="AE178" i="6" a="1"/>
  <c r="AE178" i="6" s="1"/>
  <c r="AE166" i="6" a="1"/>
  <c r="AE166" i="6" s="1"/>
  <c r="AE154" i="6" a="1"/>
  <c r="AE154" i="6" s="1"/>
  <c r="AE142" i="6" a="1"/>
  <c r="AE142" i="6" s="1"/>
  <c r="AE130" i="6" a="1"/>
  <c r="AE130" i="6" s="1"/>
  <c r="AE118" i="6" a="1"/>
  <c r="AE118" i="6" s="1"/>
  <c r="AE106" i="6" a="1"/>
  <c r="AE106" i="6" s="1"/>
  <c r="AE94" i="6" a="1"/>
  <c r="AE94" i="6" s="1"/>
  <c r="AE82" i="6" a="1"/>
  <c r="AE82" i="6" s="1"/>
  <c r="AE70" i="6" a="1"/>
  <c r="AE70" i="6" s="1"/>
  <c r="AE58" i="6" a="1"/>
  <c r="AE58" i="6" s="1"/>
  <c r="AE46" i="6" a="1"/>
  <c r="AE46" i="6" s="1"/>
  <c r="AE34" i="6" a="1"/>
  <c r="AE34" i="6" s="1"/>
  <c r="AE24" i="6" a="1"/>
  <c r="AE24" i="6" s="1"/>
  <c r="AE17" i="6" a="1"/>
  <c r="AE17" i="6" s="1"/>
  <c r="AE9" i="6" a="1"/>
  <c r="AE9" i="6" s="1"/>
  <c r="AE2" i="6" a="1"/>
  <c r="AE2" i="6" s="1"/>
  <c r="AF2" i="6" s="1"/>
  <c r="AD246" i="6"/>
  <c r="AD234" i="6"/>
  <c r="AD222" i="6"/>
  <c r="AD210" i="6"/>
  <c r="AD198" i="6"/>
  <c r="AD186" i="6"/>
  <c r="AD174" i="6"/>
  <c r="AD162" i="6"/>
  <c r="AD150" i="6"/>
  <c r="AD138" i="6"/>
  <c r="AD126" i="6"/>
  <c r="AD114" i="6"/>
  <c r="AD102" i="6"/>
  <c r="AD90" i="6"/>
  <c r="AD78" i="6"/>
  <c r="AD66" i="6"/>
  <c r="AD54" i="6"/>
  <c r="AD42" i="6"/>
  <c r="AD30" i="6"/>
  <c r="AD18" i="6"/>
  <c r="AD6" i="6"/>
  <c r="AE249" i="6" a="1"/>
  <c r="AE249" i="6" s="1"/>
  <c r="AE237" i="6" a="1"/>
  <c r="AE237" i="6" s="1"/>
  <c r="AE225" i="6" a="1"/>
  <c r="AE225" i="6" s="1"/>
  <c r="AE213" i="6" a="1"/>
  <c r="AE213" i="6" s="1"/>
  <c r="AE201" i="6" a="1"/>
  <c r="AE201" i="6" s="1"/>
  <c r="AE189" i="6" a="1"/>
  <c r="AE189" i="6" s="1"/>
  <c r="AE177" i="6" a="1"/>
  <c r="AE177" i="6" s="1"/>
  <c r="AE165" i="6" a="1"/>
  <c r="AE165" i="6" s="1"/>
  <c r="AE153" i="6" a="1"/>
  <c r="AE153" i="6" s="1"/>
  <c r="AE141" i="6" a="1"/>
  <c r="AE141" i="6" s="1"/>
  <c r="AE129" i="6" a="1"/>
  <c r="AE129" i="6" s="1"/>
  <c r="AE117" i="6" a="1"/>
  <c r="AE117" i="6" s="1"/>
  <c r="AE105" i="6" a="1"/>
  <c r="AE105" i="6" s="1"/>
  <c r="AE93" i="6" a="1"/>
  <c r="AE93" i="6" s="1"/>
  <c r="AE81" i="6" a="1"/>
  <c r="AE81" i="6" s="1"/>
  <c r="AE69" i="6" a="1"/>
  <c r="AE69" i="6" s="1"/>
  <c r="AE57" i="6" a="1"/>
  <c r="AE57" i="6" s="1"/>
  <c r="AE45" i="6" a="1"/>
  <c r="AE45" i="6" s="1"/>
  <c r="AE33" i="6" a="1"/>
  <c r="AE33" i="6" s="1"/>
  <c r="AE16" i="6" a="1"/>
  <c r="AE16" i="6" s="1"/>
  <c r="AD215" i="6"/>
  <c r="AD214" i="6"/>
  <c r="AD94" i="6"/>
  <c r="AD187" i="6"/>
  <c r="AD91" i="6"/>
  <c r="AD221" i="6"/>
  <c r="AD173" i="6"/>
  <c r="AD125" i="6"/>
  <c r="AD89" i="6"/>
  <c r="AD5" i="6"/>
  <c r="AE224" i="6" a="1"/>
  <c r="AE224" i="6" s="1"/>
  <c r="AE188" i="6" a="1"/>
  <c r="AE188" i="6" s="1"/>
  <c r="AE164" i="6" a="1"/>
  <c r="AE164" i="6" s="1"/>
  <c r="AE140" i="6" a="1"/>
  <c r="AE140" i="6" s="1"/>
  <c r="AE116" i="6" a="1"/>
  <c r="AE116" i="6" s="1"/>
  <c r="AE92" i="6" a="1"/>
  <c r="AE92" i="6" s="1"/>
  <c r="AE80" i="6" a="1"/>
  <c r="AE80" i="6" s="1"/>
  <c r="AE68" i="6" a="1"/>
  <c r="AE68" i="6" s="1"/>
  <c r="AE56" i="6" a="1"/>
  <c r="AE56" i="6" s="1"/>
  <c r="AE44" i="6" a="1"/>
  <c r="AE44" i="6" s="1"/>
  <c r="AE23" i="6" a="1"/>
  <c r="AE23" i="6" s="1"/>
  <c r="AE15" i="6" a="1"/>
  <c r="AE15" i="6" s="1"/>
  <c r="AE8" i="6" a="1"/>
  <c r="AE8" i="6" s="1"/>
  <c r="AD191" i="6"/>
  <c r="AD250" i="6"/>
  <c r="AD130" i="6"/>
  <c r="AD223" i="6"/>
  <c r="AD115" i="6"/>
  <c r="AD245" i="6"/>
  <c r="AD197" i="6"/>
  <c r="AD149" i="6"/>
  <c r="AD101" i="6"/>
  <c r="AD77" i="6"/>
  <c r="AD53" i="6"/>
  <c r="AD17" i="6"/>
  <c r="AE248" i="6" a="1"/>
  <c r="AE248" i="6" s="1"/>
  <c r="AE236" i="6" a="1"/>
  <c r="AE236" i="6" s="1"/>
  <c r="AE200" i="6" a="1"/>
  <c r="AE200" i="6" s="1"/>
  <c r="AE176" i="6" a="1"/>
  <c r="AE176" i="6" s="1"/>
  <c r="AE152" i="6" a="1"/>
  <c r="AE152" i="6" s="1"/>
  <c r="AE128" i="6" a="1"/>
  <c r="AE128" i="6" s="1"/>
  <c r="AE104" i="6" a="1"/>
  <c r="AE104" i="6" s="1"/>
  <c r="AD256" i="6"/>
  <c r="AD244" i="6"/>
  <c r="AD232" i="6"/>
  <c r="AD220" i="6"/>
  <c r="AD208" i="6"/>
  <c r="AD196" i="6"/>
  <c r="AD184" i="6"/>
  <c r="AD172" i="6"/>
  <c r="AD160" i="6"/>
  <c r="AD148" i="6"/>
  <c r="AD136" i="6"/>
  <c r="AD124" i="6"/>
  <c r="AD112" i="6"/>
  <c r="AD100" i="6"/>
  <c r="AD88" i="6"/>
  <c r="AD76" i="6"/>
  <c r="AD64" i="6"/>
  <c r="AD52" i="6"/>
  <c r="AD40" i="6"/>
  <c r="AD28" i="6"/>
  <c r="AD16" i="6"/>
  <c r="AD4" i="6"/>
  <c r="AE247" i="6" a="1"/>
  <c r="AE247" i="6" s="1"/>
  <c r="AE235" i="6" a="1"/>
  <c r="AE235" i="6" s="1"/>
  <c r="AE223" i="6" a="1"/>
  <c r="AE223" i="6" s="1"/>
  <c r="AE211" i="6" a="1"/>
  <c r="AE211" i="6" s="1"/>
  <c r="AE199" i="6" a="1"/>
  <c r="AE199" i="6" s="1"/>
  <c r="AE187" i="6" a="1"/>
  <c r="AE187" i="6" s="1"/>
  <c r="AE175" i="6" a="1"/>
  <c r="AE175" i="6" s="1"/>
  <c r="AE163" i="6" a="1"/>
  <c r="AE163" i="6" s="1"/>
  <c r="AE151" i="6" a="1"/>
  <c r="AE151" i="6" s="1"/>
  <c r="AE139" i="6" a="1"/>
  <c r="AE139" i="6" s="1"/>
  <c r="AE127" i="6" a="1"/>
  <c r="AE127" i="6" s="1"/>
  <c r="AE115" i="6" a="1"/>
  <c r="AE115" i="6" s="1"/>
  <c r="AE103" i="6" a="1"/>
  <c r="AE103" i="6" s="1"/>
  <c r="AE91" i="6" a="1"/>
  <c r="AE91" i="6" s="1"/>
  <c r="AE79" i="6" a="1"/>
  <c r="AE79" i="6" s="1"/>
  <c r="AE67" i="6" a="1"/>
  <c r="AE67" i="6" s="1"/>
  <c r="AE55" i="6" a="1"/>
  <c r="AE55" i="6" s="1"/>
  <c r="AE43" i="6" a="1"/>
  <c r="AE43" i="6" s="1"/>
  <c r="AE32" i="6" a="1"/>
  <c r="AE32" i="6" s="1"/>
  <c r="AE22" i="6" a="1"/>
  <c r="AE22" i="6" s="1"/>
  <c r="AD239" i="6"/>
  <c r="AD238" i="6"/>
  <c r="AD106" i="6"/>
  <c r="AD235" i="6"/>
  <c r="AD127" i="6"/>
  <c r="AD257" i="6"/>
  <c r="AD209" i="6"/>
  <c r="AD161" i="6"/>
  <c r="AD113" i="6"/>
  <c r="AD65" i="6"/>
  <c r="AD29" i="6"/>
  <c r="AE212" i="6" a="1"/>
  <c r="AE212" i="6" s="1"/>
  <c r="AD255" i="6"/>
  <c r="AD243" i="6"/>
  <c r="AD231" i="6"/>
  <c r="AD219" i="6"/>
  <c r="AD207" i="6"/>
  <c r="AD195" i="6"/>
  <c r="AD183" i="6"/>
  <c r="AD171" i="6"/>
  <c r="AD159" i="6"/>
  <c r="AD147" i="6"/>
  <c r="AD135" i="6"/>
  <c r="AD123" i="6"/>
  <c r="AD111" i="6"/>
  <c r="AD99" i="6"/>
  <c r="AD87" i="6"/>
  <c r="AD75" i="6"/>
  <c r="AD63" i="6"/>
  <c r="AD51" i="6"/>
  <c r="AD39" i="6"/>
  <c r="AD27" i="6"/>
  <c r="AD15" i="6"/>
  <c r="AD3" i="6"/>
  <c r="AE246" i="6" a="1"/>
  <c r="AE246" i="6" s="1"/>
  <c r="AE234" i="6" a="1"/>
  <c r="AE234" i="6" s="1"/>
  <c r="AE222" i="6" a="1"/>
  <c r="AE222" i="6" s="1"/>
  <c r="AE210" i="6" a="1"/>
  <c r="AE210" i="6" s="1"/>
  <c r="AE198" i="6" a="1"/>
  <c r="AE198" i="6" s="1"/>
  <c r="AE186" i="6" a="1"/>
  <c r="AE186" i="6" s="1"/>
  <c r="AE174" i="6" a="1"/>
  <c r="AE174" i="6" s="1"/>
  <c r="AE162" i="6" a="1"/>
  <c r="AE162" i="6" s="1"/>
  <c r="AE150" i="6" a="1"/>
  <c r="AE150" i="6" s="1"/>
  <c r="AE138" i="6" a="1"/>
  <c r="AE138" i="6" s="1"/>
  <c r="AE126" i="6" a="1"/>
  <c r="AE126" i="6" s="1"/>
  <c r="AE114" i="6" a="1"/>
  <c r="AE114" i="6" s="1"/>
  <c r="AE102" i="6" a="1"/>
  <c r="AE102" i="6" s="1"/>
  <c r="AE90" i="6" a="1"/>
  <c r="AE90" i="6" s="1"/>
  <c r="AE78" i="6" a="1"/>
  <c r="AE78" i="6" s="1"/>
  <c r="AE66" i="6" a="1"/>
  <c r="AE66" i="6" s="1"/>
  <c r="AE54" i="6" a="1"/>
  <c r="AE54" i="6" s="1"/>
  <c r="AE42" i="6" a="1"/>
  <c r="AE42" i="6" s="1"/>
  <c r="AE31" i="6" a="1"/>
  <c r="AE31" i="6" s="1"/>
  <c r="AE21" i="6" a="1"/>
  <c r="AE21" i="6" s="1"/>
  <c r="AE14" i="6" a="1"/>
  <c r="AE14" i="6" s="1"/>
  <c r="AE7" i="6" a="1"/>
  <c r="AE7" i="6" s="1"/>
  <c r="AD227" i="6"/>
  <c r="AD202" i="6"/>
  <c r="AD70" i="6"/>
  <c r="AD247" i="6"/>
  <c r="AD163" i="6"/>
  <c r="AD103" i="6"/>
  <c r="AD185" i="6"/>
  <c r="AD137" i="6"/>
  <c r="AD41" i="6"/>
  <c r="AD254" i="6"/>
  <c r="AD242" i="6"/>
  <c r="AD230" i="6"/>
  <c r="AD218" i="6"/>
  <c r="AD206" i="6"/>
  <c r="AD194" i="6"/>
  <c r="AD182" i="6"/>
  <c r="AD170" i="6"/>
  <c r="AD158" i="6"/>
  <c r="AD146" i="6"/>
  <c r="AD134" i="6"/>
  <c r="AD122" i="6"/>
  <c r="AD110" i="6"/>
  <c r="AD98" i="6"/>
  <c r="AD86" i="6"/>
  <c r="AD74" i="6"/>
  <c r="AD62" i="6"/>
  <c r="AD50" i="6"/>
  <c r="AD38" i="6"/>
  <c r="AD26" i="6"/>
  <c r="AD14" i="6"/>
  <c r="AE257" i="6" a="1"/>
  <c r="AE257" i="6" s="1"/>
  <c r="AE245" i="6" a="1"/>
  <c r="AE245" i="6" s="1"/>
  <c r="AE233" i="6" a="1"/>
  <c r="AE233" i="6" s="1"/>
  <c r="AE221" i="6" a="1"/>
  <c r="AE221" i="6" s="1"/>
  <c r="AE209" i="6" a="1"/>
  <c r="AE209" i="6" s="1"/>
  <c r="AE197" i="6" a="1"/>
  <c r="AE197" i="6" s="1"/>
  <c r="AE185" i="6" a="1"/>
  <c r="AE185" i="6" s="1"/>
  <c r="AE173" i="6" a="1"/>
  <c r="AE173" i="6" s="1"/>
  <c r="AE161" i="6" a="1"/>
  <c r="AE161" i="6" s="1"/>
  <c r="AE149" i="6" a="1"/>
  <c r="AE149" i="6" s="1"/>
  <c r="AE137" i="6" a="1"/>
  <c r="AE137" i="6" s="1"/>
  <c r="AE125" i="6" a="1"/>
  <c r="AE125" i="6" s="1"/>
  <c r="AE113" i="6" a="1"/>
  <c r="AE113" i="6" s="1"/>
  <c r="AE101" i="6" a="1"/>
  <c r="AE101" i="6" s="1"/>
  <c r="AE89" i="6" a="1"/>
  <c r="AE89" i="6" s="1"/>
  <c r="AE77" i="6" a="1"/>
  <c r="AE77" i="6" s="1"/>
  <c r="AE65" i="6" a="1"/>
  <c r="AE65" i="6" s="1"/>
  <c r="AE53" i="6" a="1"/>
  <c r="AE53" i="6" s="1"/>
  <c r="AE41" i="6" a="1"/>
  <c r="AE41" i="6" s="1"/>
  <c r="AE30" i="6" a="1"/>
  <c r="AE30" i="6" s="1"/>
  <c r="AD131" i="6"/>
  <c r="AD166" i="6"/>
  <c r="AD118" i="6"/>
  <c r="AD199" i="6"/>
  <c r="AD55" i="6"/>
  <c r="AD253" i="6"/>
  <c r="AD229" i="6"/>
  <c r="AD205" i="6"/>
  <c r="AD181" i="6"/>
  <c r="AD157" i="6"/>
  <c r="AD121" i="6"/>
  <c r="AD85" i="6"/>
  <c r="AD13" i="6"/>
  <c r="AE232" i="6" a="1"/>
  <c r="AE232" i="6" s="1"/>
  <c r="AE196" i="6" a="1"/>
  <c r="AE196" i="6" s="1"/>
  <c r="AE172" i="6" a="1"/>
  <c r="AE172" i="6" s="1"/>
  <c r="AE136" i="6" a="1"/>
  <c r="AE136" i="6" s="1"/>
  <c r="AE112" i="6" a="1"/>
  <c r="AE112" i="6" s="1"/>
  <c r="AE64" i="6" a="1"/>
  <c r="AE64" i="6" s="1"/>
  <c r="AE13" i="6" a="1"/>
  <c r="AE13" i="6" s="1"/>
  <c r="AD251" i="6"/>
  <c r="AD179" i="6"/>
  <c r="AD226" i="6"/>
  <c r="AD154" i="6"/>
  <c r="AD82" i="6"/>
  <c r="AF82" i="6" s="1"/>
  <c r="AD175" i="6"/>
  <c r="AD67" i="6"/>
  <c r="AD233" i="6"/>
  <c r="AD241" i="6"/>
  <c r="AD217" i="6"/>
  <c r="AD193" i="6"/>
  <c r="AD169" i="6"/>
  <c r="AD145" i="6"/>
  <c r="AD133" i="6"/>
  <c r="AD109" i="6"/>
  <c r="AD97" i="6"/>
  <c r="AD73" i="6"/>
  <c r="AD61" i="6"/>
  <c r="AD49" i="6"/>
  <c r="AD37" i="6"/>
  <c r="AD25" i="6"/>
  <c r="AE256" i="6" a="1"/>
  <c r="AE256" i="6" s="1"/>
  <c r="AE244" i="6" a="1"/>
  <c r="AE244" i="6" s="1"/>
  <c r="AE220" i="6" a="1"/>
  <c r="AE220" i="6" s="1"/>
  <c r="AE208" i="6" a="1"/>
  <c r="AE208" i="6" s="1"/>
  <c r="AE184" i="6" a="1"/>
  <c r="AE184" i="6" s="1"/>
  <c r="AE160" i="6" a="1"/>
  <c r="AE160" i="6" s="1"/>
  <c r="AE148" i="6" a="1"/>
  <c r="AE148" i="6" s="1"/>
  <c r="AE124" i="6" a="1"/>
  <c r="AE124" i="6" s="1"/>
  <c r="AE100" i="6" a="1"/>
  <c r="AE100" i="6" s="1"/>
  <c r="AE88" i="6" a="1"/>
  <c r="AE88" i="6" s="1"/>
  <c r="AE76" i="6" a="1"/>
  <c r="AE76" i="6" s="1"/>
  <c r="AE52" i="6" a="1"/>
  <c r="AE52" i="6" s="1"/>
  <c r="AE40" i="6" a="1"/>
  <c r="AE40" i="6" s="1"/>
  <c r="AE29" i="6" a="1"/>
  <c r="AE29" i="6" s="1"/>
  <c r="AE20" i="6" a="1"/>
  <c r="AE20" i="6" s="1"/>
  <c r="AE6" i="6" a="1"/>
  <c r="AE6" i="6" s="1"/>
  <c r="AD252" i="6"/>
  <c r="AD240" i="6"/>
  <c r="AD228" i="6"/>
  <c r="AD216" i="6"/>
  <c r="AD204" i="6"/>
  <c r="AD192" i="6"/>
  <c r="AD180" i="6"/>
  <c r="AD168" i="6"/>
  <c r="AD156" i="6"/>
  <c r="AD144" i="6"/>
  <c r="AD132" i="6"/>
  <c r="AD120" i="6"/>
  <c r="AD108" i="6"/>
  <c r="AD96" i="6"/>
  <c r="AD84" i="6"/>
  <c r="AD72" i="6"/>
  <c r="AD60" i="6"/>
  <c r="AD48" i="6"/>
  <c r="AD36" i="6"/>
  <c r="AD24" i="6"/>
  <c r="AD12" i="6"/>
  <c r="AE255" i="6" a="1"/>
  <c r="AE255" i="6" s="1"/>
  <c r="AE243" i="6" a="1"/>
  <c r="AE243" i="6" s="1"/>
  <c r="AE231" i="6" a="1"/>
  <c r="AE231" i="6" s="1"/>
  <c r="AE219" i="6" a="1"/>
  <c r="AE219" i="6" s="1"/>
  <c r="AE207" i="6" a="1"/>
  <c r="AE207" i="6" s="1"/>
  <c r="AE195" i="6" a="1"/>
  <c r="AE195" i="6" s="1"/>
  <c r="AE183" i="6" a="1"/>
  <c r="AE183" i="6" s="1"/>
  <c r="AE171" i="6" a="1"/>
  <c r="AE171" i="6" s="1"/>
  <c r="AE159" i="6" a="1"/>
  <c r="AE159" i="6" s="1"/>
  <c r="AE147" i="6" a="1"/>
  <c r="AE147" i="6" s="1"/>
  <c r="AE135" i="6" a="1"/>
  <c r="AE135" i="6" s="1"/>
  <c r="AE123" i="6" a="1"/>
  <c r="AE123" i="6" s="1"/>
  <c r="AE111" i="6" a="1"/>
  <c r="AE111" i="6" s="1"/>
  <c r="AE99" i="6" a="1"/>
  <c r="AE99" i="6" s="1"/>
  <c r="AE87" i="6" a="1"/>
  <c r="AE87" i="6" s="1"/>
  <c r="AE75" i="6" a="1"/>
  <c r="AE75" i="6" s="1"/>
  <c r="AE63" i="6" a="1"/>
  <c r="AE63" i="6" s="1"/>
  <c r="AE51" i="6" a="1"/>
  <c r="AE51" i="6" s="1"/>
  <c r="AE39" i="6" a="1"/>
  <c r="AE39" i="6" s="1"/>
  <c r="AE28" i="6" a="1"/>
  <c r="AE28" i="6" s="1"/>
  <c r="AD203" i="6"/>
  <c r="AD143" i="6"/>
  <c r="AD119" i="6"/>
  <c r="AD107" i="6"/>
  <c r="AD95" i="6"/>
  <c r="AD83" i="6"/>
  <c r="AD71" i="6"/>
  <c r="AD59" i="6"/>
  <c r="AD47" i="6"/>
  <c r="AD35" i="6"/>
  <c r="AD23" i="6"/>
  <c r="AD11" i="6"/>
  <c r="AE254" i="6" a="1"/>
  <c r="AE254" i="6" s="1"/>
  <c r="AE242" i="6" a="1"/>
  <c r="AE242" i="6" s="1"/>
  <c r="AE230" i="6" a="1"/>
  <c r="AE230" i="6" s="1"/>
  <c r="AE218" i="6" a="1"/>
  <c r="AE218" i="6" s="1"/>
  <c r="AE206" i="6" a="1"/>
  <c r="AE206" i="6" s="1"/>
  <c r="AE194" i="6" a="1"/>
  <c r="AE194" i="6" s="1"/>
  <c r="AE182" i="6" a="1"/>
  <c r="AE182" i="6" s="1"/>
  <c r="AE170" i="6" a="1"/>
  <c r="AE170" i="6" s="1"/>
  <c r="AE158" i="6" a="1"/>
  <c r="AE158" i="6" s="1"/>
  <c r="AE146" i="6" a="1"/>
  <c r="AE146" i="6" s="1"/>
  <c r="AE134" i="6" a="1"/>
  <c r="AE134" i="6" s="1"/>
  <c r="AE122" i="6" a="1"/>
  <c r="AE122" i="6" s="1"/>
  <c r="AE110" i="6" a="1"/>
  <c r="AE110" i="6" s="1"/>
  <c r="AE98" i="6" a="1"/>
  <c r="AE98" i="6" s="1"/>
  <c r="AE86" i="6" a="1"/>
  <c r="AE86" i="6" s="1"/>
  <c r="AE74" i="6" a="1"/>
  <c r="AE74" i="6" s="1"/>
  <c r="AE62" i="6" a="1"/>
  <c r="AE62" i="6" s="1"/>
  <c r="AE50" i="6" a="1"/>
  <c r="AE50" i="6" s="1"/>
  <c r="AE38" i="6" a="1"/>
  <c r="AE38" i="6" s="1"/>
  <c r="AE27" i="6" a="1"/>
  <c r="AE27" i="6" s="1"/>
  <c r="AE19" i="6" a="1"/>
  <c r="AE19" i="6" s="1"/>
  <c r="AE12" i="6" a="1"/>
  <c r="AE12" i="6" s="1"/>
  <c r="AE5" i="6" a="1"/>
  <c r="AE5" i="6" s="1"/>
  <c r="AD155" i="6"/>
  <c r="AD178" i="6"/>
  <c r="AD142" i="6"/>
  <c r="AD58" i="6"/>
  <c r="AD34" i="6"/>
  <c r="AD22" i="6"/>
  <c r="AD10" i="6"/>
  <c r="AE253" i="6" a="1"/>
  <c r="AE253" i="6" s="1"/>
  <c r="AE241" i="6" a="1"/>
  <c r="AE241" i="6" s="1"/>
  <c r="AE229" i="6" a="1"/>
  <c r="AE229" i="6" s="1"/>
  <c r="AE217" i="6" a="1"/>
  <c r="AE217" i="6" s="1"/>
  <c r="AE205" i="6" a="1"/>
  <c r="AE205" i="6" s="1"/>
  <c r="AE193" i="6" a="1"/>
  <c r="AE193" i="6" s="1"/>
  <c r="AE181" i="6" a="1"/>
  <c r="AE181" i="6" s="1"/>
  <c r="AE169" i="6" a="1"/>
  <c r="AE169" i="6" s="1"/>
  <c r="AE157" i="6" a="1"/>
  <c r="AE157" i="6" s="1"/>
  <c r="AE145" i="6" a="1"/>
  <c r="AE145" i="6" s="1"/>
  <c r="AE133" i="6" a="1"/>
  <c r="AE133" i="6" s="1"/>
  <c r="AE121" i="6" a="1"/>
  <c r="AE121" i="6" s="1"/>
  <c r="AE109" i="6" a="1"/>
  <c r="AE109" i="6" s="1"/>
  <c r="AE97" i="6" a="1"/>
  <c r="AE97" i="6" s="1"/>
  <c r="AE85" i="6" a="1"/>
  <c r="AE85" i="6" s="1"/>
  <c r="AE73" i="6" a="1"/>
  <c r="AE73" i="6" s="1"/>
  <c r="AE61" i="6" a="1"/>
  <c r="AE61" i="6" s="1"/>
  <c r="AE49" i="6" a="1"/>
  <c r="AE49" i="6" s="1"/>
  <c r="AE37" i="6" a="1"/>
  <c r="AE37" i="6" s="1"/>
  <c r="AE4" i="6" a="1"/>
  <c r="AE4" i="6" s="1"/>
  <c r="AD249" i="6"/>
  <c r="AD237" i="6"/>
  <c r="AD225" i="6"/>
  <c r="AD213" i="6"/>
  <c r="AD201" i="6"/>
  <c r="AD189" i="6"/>
  <c r="AD177" i="6"/>
  <c r="AD165" i="6"/>
  <c r="AD153" i="6"/>
  <c r="AD141" i="6"/>
  <c r="AD129" i="6"/>
  <c r="AD117" i="6"/>
  <c r="AD105" i="6"/>
  <c r="AD93" i="6"/>
  <c r="AD81" i="6"/>
  <c r="AD69" i="6"/>
  <c r="AD57" i="6"/>
  <c r="AD45" i="6"/>
  <c r="AD33" i="6"/>
  <c r="AD21" i="6"/>
  <c r="AD9" i="6"/>
  <c r="AE252" i="6" a="1"/>
  <c r="AE252" i="6" s="1"/>
  <c r="AE240" i="6" a="1"/>
  <c r="AE240" i="6" s="1"/>
  <c r="AE228" i="6" a="1"/>
  <c r="AE228" i="6" s="1"/>
  <c r="AE216" i="6" a="1"/>
  <c r="AE216" i="6" s="1"/>
  <c r="AE204" i="6" a="1"/>
  <c r="AE204" i="6" s="1"/>
  <c r="AE192" i="6" a="1"/>
  <c r="AE192" i="6" s="1"/>
  <c r="AE180" i="6" a="1"/>
  <c r="AE180" i="6" s="1"/>
  <c r="AE168" i="6" a="1"/>
  <c r="AE168" i="6" s="1"/>
  <c r="AE156" i="6" a="1"/>
  <c r="AE156" i="6" s="1"/>
  <c r="AE144" i="6" a="1"/>
  <c r="AE144" i="6" s="1"/>
  <c r="AE132" i="6" a="1"/>
  <c r="AE132" i="6" s="1"/>
  <c r="AE120" i="6" a="1"/>
  <c r="AE120" i="6" s="1"/>
  <c r="AE108" i="6" a="1"/>
  <c r="AE108" i="6" s="1"/>
  <c r="AE96" i="6" a="1"/>
  <c r="AE96" i="6" s="1"/>
  <c r="AE84" i="6" a="1"/>
  <c r="AE84" i="6" s="1"/>
  <c r="AE72" i="6" a="1"/>
  <c r="AE72" i="6" s="1"/>
  <c r="AE60" i="6" a="1"/>
  <c r="AE60" i="6" s="1"/>
  <c r="AE48" i="6" a="1"/>
  <c r="AE48" i="6" s="1"/>
  <c r="AE36" i="6" a="1"/>
  <c r="AE36" i="6" s="1"/>
  <c r="AE26" i="6" a="1"/>
  <c r="AE26" i="6" s="1"/>
  <c r="AE18" i="6" a="1"/>
  <c r="AE18" i="6" s="1"/>
  <c r="AE11" i="6" a="1"/>
  <c r="AE11" i="6" s="1"/>
  <c r="AD248" i="6"/>
  <c r="AD236" i="6"/>
  <c r="AD224" i="6"/>
  <c r="AD212" i="6"/>
  <c r="AD200" i="6"/>
  <c r="AF200" i="6" s="1"/>
  <c r="AD188" i="6"/>
  <c r="AD176" i="6"/>
  <c r="AD164" i="6"/>
  <c r="AD152" i="6"/>
  <c r="AD140" i="6"/>
  <c r="AD128" i="6"/>
  <c r="AD116" i="6"/>
  <c r="AD104" i="6"/>
  <c r="AD92" i="6"/>
  <c r="AD80" i="6"/>
  <c r="AD68" i="6"/>
  <c r="AD56" i="6"/>
  <c r="AD44" i="6"/>
  <c r="AD32" i="6"/>
  <c r="AD20" i="6"/>
  <c r="AD8" i="6"/>
  <c r="AE251" i="6" a="1"/>
  <c r="AE251" i="6" s="1"/>
  <c r="AE239" i="6" a="1"/>
  <c r="AE239" i="6" s="1"/>
  <c r="AE227" i="6" a="1"/>
  <c r="AE227" i="6" s="1"/>
  <c r="AE215" i="6" a="1"/>
  <c r="AE215" i="6" s="1"/>
  <c r="AE203" i="6" a="1"/>
  <c r="AE203" i="6" s="1"/>
  <c r="AE191" i="6" a="1"/>
  <c r="AE191" i="6" s="1"/>
  <c r="AE179" i="6" a="1"/>
  <c r="AE179" i="6" s="1"/>
  <c r="AE167" i="6" a="1"/>
  <c r="AE167" i="6" s="1"/>
  <c r="AE155" i="6" a="1"/>
  <c r="AE155" i="6" s="1"/>
  <c r="AE143" i="6" a="1"/>
  <c r="AE143" i="6" s="1"/>
  <c r="AE131" i="6" a="1"/>
  <c r="AE131" i="6" s="1"/>
  <c r="AE119" i="6" a="1"/>
  <c r="AE119" i="6" s="1"/>
  <c r="AE107" i="6" a="1"/>
  <c r="AE107" i="6" s="1"/>
  <c r="AE95" i="6" a="1"/>
  <c r="AE95" i="6" s="1"/>
  <c r="AE83" i="6" a="1"/>
  <c r="AE83" i="6" s="1"/>
  <c r="AE71" i="6" a="1"/>
  <c r="AE71" i="6" s="1"/>
  <c r="AE59" i="6" a="1"/>
  <c r="AE59" i="6" s="1"/>
  <c r="AE47" i="6" a="1"/>
  <c r="AE47" i="6" s="1"/>
  <c r="AE35" i="6" a="1"/>
  <c r="AE35" i="6" s="1"/>
  <c r="AE25" i="6" a="1"/>
  <c r="AE25" i="6" s="1"/>
  <c r="AE10" i="6" a="1"/>
  <c r="AE10" i="6" s="1"/>
  <c r="AE3" i="6" a="1"/>
  <c r="AE3" i="6" s="1"/>
  <c r="AO729" i="6" a="1"/>
  <c r="AO729" i="6" s="1"/>
  <c r="AO1008" i="6" a="1"/>
  <c r="AO1008" i="6" s="1"/>
  <c r="AO884" i="6" a="1"/>
  <c r="AO884" i="6" s="1"/>
  <c r="AO712" i="6" a="1"/>
  <c r="AO712" i="6" s="1"/>
  <c r="AO971" i="6" a="1"/>
  <c r="AO971" i="6" s="1"/>
  <c r="AO819" i="6" a="1"/>
  <c r="AO819" i="6" s="1"/>
  <c r="AO954" i="6" a="1"/>
  <c r="AO954" i="6" s="1"/>
  <c r="AO792" i="6" a="1"/>
  <c r="AO792" i="6" s="1"/>
  <c r="AO486" i="6" a="1"/>
  <c r="AO486" i="6" s="1"/>
  <c r="AO921" i="6" a="1"/>
  <c r="AO921" i="6" s="1"/>
  <c r="AO419" i="6" a="1"/>
  <c r="AO419" i="6" s="1"/>
  <c r="AO902" i="6" a="1"/>
  <c r="AO902" i="6" s="1"/>
  <c r="AO745" i="6" a="1"/>
  <c r="AO745" i="6" s="1"/>
  <c r="AO1015" i="6" a="1"/>
  <c r="AO1015" i="6" s="1"/>
  <c r="AO893" i="6" a="1"/>
  <c r="AO893" i="6" s="1"/>
  <c r="AO1001" i="6" a="1"/>
  <c r="AO1001" i="6" s="1"/>
  <c r="AO876" i="6" a="1"/>
  <c r="AO876" i="6" s="1"/>
  <c r="AO632" i="6" a="1"/>
  <c r="AO632" i="6" s="1"/>
  <c r="AO831" i="6" a="1"/>
  <c r="AO831" i="6" s="1"/>
  <c r="AO779" i="6" a="1"/>
  <c r="AO779" i="6" s="1"/>
  <c r="AO760" i="6" a="1"/>
  <c r="AO760" i="6" s="1"/>
  <c r="AO1022" i="6" a="1"/>
  <c r="AO1022" i="6" s="1"/>
  <c r="AO994" i="6" a="1"/>
  <c r="AO994" i="6" s="1"/>
  <c r="AO850" i="6" a="1"/>
  <c r="AO850" i="6" s="1"/>
  <c r="AO615" i="6" a="1"/>
  <c r="AO615" i="6" s="1"/>
  <c r="AO987" i="6" a="1"/>
  <c r="AO987" i="6" s="1"/>
  <c r="AO840" i="6" a="1"/>
  <c r="AO840" i="6" s="1"/>
  <c r="AO600" i="6" a="1"/>
  <c r="AO600" i="6" s="1"/>
  <c r="AO583" i="6" a="1"/>
  <c r="AO583" i="6" s="1"/>
  <c r="AO564" i="6" a="1"/>
  <c r="AO564" i="6" s="1"/>
  <c r="AO544" i="6" a="1"/>
  <c r="AO544" i="6" s="1"/>
  <c r="AO980" i="6" a="1"/>
  <c r="AO980" i="6" s="1"/>
  <c r="AO520" i="6" a="1"/>
  <c r="AO520" i="6" s="1"/>
  <c r="AO807" i="6" a="1"/>
  <c r="AO807" i="6" s="1"/>
  <c r="AO945" i="6" a="1"/>
  <c r="AO945" i="6" s="1"/>
  <c r="AO928" i="6" a="1"/>
  <c r="AO928" i="6" s="1"/>
  <c r="AO452" i="6" a="1"/>
  <c r="AO452" i="6" s="1"/>
  <c r="AO287" i="6" a="1"/>
  <c r="AO287" i="6" s="1"/>
  <c r="AO87" i="6" a="1"/>
  <c r="AO87" i="6" s="1"/>
  <c r="AO970" i="6" a="1"/>
  <c r="AO970" i="6" s="1"/>
  <c r="AO920" i="6" a="1"/>
  <c r="AO920" i="6" s="1"/>
  <c r="AO866" i="6" a="1"/>
  <c r="AO866" i="6" s="1"/>
  <c r="AO774" i="6" a="1"/>
  <c r="AO774" i="6" s="1"/>
  <c r="AO676" i="6" a="1"/>
  <c r="AO676" i="6" s="1"/>
  <c r="AO645" i="6" a="1"/>
  <c r="AO645" i="6" s="1"/>
  <c r="AO596" i="6" a="1"/>
  <c r="AO596" i="6" s="1"/>
  <c r="AO385" i="6" a="1"/>
  <c r="AO385" i="6" s="1"/>
  <c r="AO353" i="6" a="1"/>
  <c r="AO353" i="6" s="1"/>
  <c r="AO319" i="6" a="1"/>
  <c r="AO319" i="6" s="1"/>
  <c r="AO286" i="6" a="1"/>
  <c r="AO286" i="6" s="1"/>
  <c r="AO252" i="6" a="1"/>
  <c r="AO252" i="6" s="1"/>
  <c r="AO219" i="6" a="1"/>
  <c r="AO219" i="6" s="1"/>
  <c r="AO185" i="6" a="1"/>
  <c r="AO185" i="6" s="1"/>
  <c r="AO120" i="6" a="1"/>
  <c r="AO120" i="6" s="1"/>
  <c r="AO54" i="6" a="1"/>
  <c r="AO54" i="6" s="1"/>
  <c r="AO21" i="6" a="1"/>
  <c r="AO21" i="6" s="1"/>
  <c r="AO1021" i="6" a="1"/>
  <c r="AO1021" i="6" s="1"/>
  <c r="AO1014" i="6" a="1"/>
  <c r="AO1014" i="6" s="1"/>
  <c r="AO1007" i="6" a="1"/>
  <c r="AO1007" i="6" s="1"/>
  <c r="AO1000" i="6" a="1"/>
  <c r="AO1000" i="6" s="1"/>
  <c r="AO986" i="6" a="1"/>
  <c r="AO986" i="6" s="1"/>
  <c r="AO978" i="6" a="1"/>
  <c r="AO978" i="6" s="1"/>
  <c r="AO969" i="6" a="1"/>
  <c r="AO969" i="6" s="1"/>
  <c r="AO961" i="6" a="1"/>
  <c r="AO961" i="6" s="1"/>
  <c r="AO952" i="6" a="1"/>
  <c r="AO952" i="6" s="1"/>
  <c r="AO943" i="6" a="1"/>
  <c r="AO943" i="6" s="1"/>
  <c r="AO919" i="6" a="1"/>
  <c r="AO919" i="6" s="1"/>
  <c r="AO910" i="6" a="1"/>
  <c r="AO910" i="6" s="1"/>
  <c r="AO883" i="6" a="1"/>
  <c r="AO883" i="6" s="1"/>
  <c r="AO874" i="6" a="1"/>
  <c r="AO874" i="6" s="1"/>
  <c r="AO856" i="6" a="1"/>
  <c r="AO856" i="6" s="1"/>
  <c r="AO848" i="6" a="1"/>
  <c r="AO848" i="6" s="1"/>
  <c r="AO839" i="6" a="1"/>
  <c r="AO839" i="6" s="1"/>
  <c r="AO829" i="6" a="1"/>
  <c r="AO829" i="6" s="1"/>
  <c r="AO818" i="6" a="1"/>
  <c r="AO818" i="6" s="1"/>
  <c r="AO806" i="6" a="1"/>
  <c r="AO806" i="6" s="1"/>
  <c r="AO790" i="6" a="1"/>
  <c r="AO790" i="6" s="1"/>
  <c r="AO773" i="6" a="1"/>
  <c r="AO773" i="6" s="1"/>
  <c r="AO757" i="6" a="1"/>
  <c r="AO757" i="6" s="1"/>
  <c r="AO741" i="6" a="1"/>
  <c r="AO741" i="6" s="1"/>
  <c r="AO724" i="6" a="1"/>
  <c r="AO724" i="6" s="1"/>
  <c r="AO709" i="6" a="1"/>
  <c r="AO709" i="6" s="1"/>
  <c r="AO693" i="6" a="1"/>
  <c r="AO693" i="6" s="1"/>
  <c r="AO644" i="6" a="1"/>
  <c r="AO644" i="6" s="1"/>
  <c r="AO627" i="6" a="1"/>
  <c r="AO627" i="6" s="1"/>
  <c r="AO612" i="6" a="1"/>
  <c r="AO612" i="6" s="1"/>
  <c r="AO579" i="6" a="1"/>
  <c r="AO579" i="6" s="1"/>
  <c r="AO563" i="6" a="1"/>
  <c r="AO563" i="6" s="1"/>
  <c r="AO539" i="6" a="1"/>
  <c r="AO539" i="6" s="1"/>
  <c r="AO517" i="6" a="1"/>
  <c r="AO517" i="6" s="1"/>
  <c r="AO483" i="6" a="1"/>
  <c r="AO483" i="6" s="1"/>
  <c r="AO449" i="6" a="1"/>
  <c r="AO449" i="6" s="1"/>
  <c r="AO383" i="6" a="1"/>
  <c r="AO383" i="6" s="1"/>
  <c r="AO351" i="6" a="1"/>
  <c r="AO351" i="6" s="1"/>
  <c r="AO317" i="6" a="1"/>
  <c r="AO317" i="6" s="1"/>
  <c r="AO284" i="6" a="1"/>
  <c r="AO284" i="6" s="1"/>
  <c r="AO250" i="6" a="1"/>
  <c r="AO250" i="6" s="1"/>
  <c r="AO217" i="6" a="1"/>
  <c r="AO217" i="6" s="1"/>
  <c r="AO183" i="6" a="1"/>
  <c r="AO183" i="6" s="1"/>
  <c r="AO151" i="6" a="1"/>
  <c r="AO151" i="6" s="1"/>
  <c r="AO118" i="6" a="1"/>
  <c r="AO118" i="6" s="1"/>
  <c r="AO85" i="6" a="1"/>
  <c r="AO85" i="6" s="1"/>
  <c r="AO52" i="6" a="1"/>
  <c r="AO52" i="6" s="1"/>
  <c r="AO20" i="6" a="1"/>
  <c r="AO20" i="6" s="1"/>
  <c r="AO386" i="6" a="1"/>
  <c r="AO386" i="6" s="1"/>
  <c r="AO186" i="6" a="1"/>
  <c r="AO186" i="6" s="1"/>
  <c r="AO944" i="6" a="1"/>
  <c r="AO944" i="6" s="1"/>
  <c r="AO875" i="6" a="1"/>
  <c r="AO875" i="6" s="1"/>
  <c r="AO725" i="6" a="1"/>
  <c r="AO725" i="6" s="1"/>
  <c r="AO519" i="6" a="1"/>
  <c r="AO519" i="6" s="1"/>
  <c r="AO936" i="6" a="1"/>
  <c r="AO936" i="6" s="1"/>
  <c r="AO882" i="6" a="1"/>
  <c r="AO882" i="6" s="1"/>
  <c r="AO804" i="6" a="1"/>
  <c r="AO804" i="6" s="1"/>
  <c r="AO595" i="6" a="1"/>
  <c r="AO595" i="6" s="1"/>
  <c r="AO441" i="6" a="1"/>
  <c r="AO441" i="6" s="1"/>
  <c r="AO209" i="6" a="1"/>
  <c r="AO209" i="6" s="1"/>
  <c r="AO1020" i="6" a="1"/>
  <c r="AO1020" i="6" s="1"/>
  <c r="AO985" i="6" a="1"/>
  <c r="AO985" i="6" s="1"/>
  <c r="AO976" i="6" a="1"/>
  <c r="AO976" i="6" s="1"/>
  <c r="AO968" i="6" a="1"/>
  <c r="AO968" i="6" s="1"/>
  <c r="AO951" i="6" a="1"/>
  <c r="AO951" i="6" s="1"/>
  <c r="AO942" i="6" a="1"/>
  <c r="AO942" i="6" s="1"/>
  <c r="AO935" i="6" a="1"/>
  <c r="AO935" i="6" s="1"/>
  <c r="AO917" i="6" a="1"/>
  <c r="AO917" i="6" s="1"/>
  <c r="AO909" i="6" a="1"/>
  <c r="AO909" i="6" s="1"/>
  <c r="AO881" i="6" a="1"/>
  <c r="AO881" i="6" s="1"/>
  <c r="AO872" i="6" a="1"/>
  <c r="AO872" i="6" s="1"/>
  <c r="AO846" i="6" a="1"/>
  <c r="AO846" i="6" s="1"/>
  <c r="AO828" i="6" a="1"/>
  <c r="AO828" i="6" s="1"/>
  <c r="AO816" i="6" a="1"/>
  <c r="AO816" i="6" s="1"/>
  <c r="AO801" i="6" a="1"/>
  <c r="AO801" i="6" s="1"/>
  <c r="AO788" i="6" a="1"/>
  <c r="AO788" i="6" s="1"/>
  <c r="AO771" i="6" a="1"/>
  <c r="AO771" i="6" s="1"/>
  <c r="AO756" i="6" a="1"/>
  <c r="AO756" i="6" s="1"/>
  <c r="AO723" i="6" a="1"/>
  <c r="AO723" i="6" s="1"/>
  <c r="AO708" i="6" a="1"/>
  <c r="AO708" i="6" s="1"/>
  <c r="AO691" i="6" a="1"/>
  <c r="AO691" i="6" s="1"/>
  <c r="AO642" i="6" a="1"/>
  <c r="AO642" i="6" s="1"/>
  <c r="AO626" i="6" a="1"/>
  <c r="AO626" i="6" s="1"/>
  <c r="AO611" i="6" a="1"/>
  <c r="AO611" i="6" s="1"/>
  <c r="AO594" i="6" a="1"/>
  <c r="AO594" i="6" s="1"/>
  <c r="AO578" i="6" a="1"/>
  <c r="AO578" i="6" s="1"/>
  <c r="AO537" i="6" a="1"/>
  <c r="AO537" i="6" s="1"/>
  <c r="AO509" i="6" a="1"/>
  <c r="AO509" i="6" s="1"/>
  <c r="AO475" i="6" a="1"/>
  <c r="AO475" i="6" s="1"/>
  <c r="AO409" i="6" a="1"/>
  <c r="AO409" i="6" s="1"/>
  <c r="AO375" i="6" a="1"/>
  <c r="AO375" i="6" s="1"/>
  <c r="AO344" i="6" a="1"/>
  <c r="AO344" i="6" s="1"/>
  <c r="AO276" i="6" a="1"/>
  <c r="AO276" i="6" s="1"/>
  <c r="AO241" i="6" a="1"/>
  <c r="AO241" i="6" s="1"/>
  <c r="AO208" i="6" a="1"/>
  <c r="AO208" i="6" s="1"/>
  <c r="AO175" i="6" a="1"/>
  <c r="AO175" i="6" s="1"/>
  <c r="AO142" i="6" a="1"/>
  <c r="AO142" i="6" s="1"/>
  <c r="AO110" i="6" a="1"/>
  <c r="AO110" i="6" s="1"/>
  <c r="AO77" i="6" a="1"/>
  <c r="AO77" i="6" s="1"/>
  <c r="AO15" i="6" a="1"/>
  <c r="AO15" i="6" s="1"/>
  <c r="AO153" i="6" a="1"/>
  <c r="AO153" i="6" s="1"/>
  <c r="AO979" i="6" a="1"/>
  <c r="AO979" i="6" s="1"/>
  <c r="AO892" i="6" a="1"/>
  <c r="AO892" i="6" s="1"/>
  <c r="AO791" i="6" a="1"/>
  <c r="AO791" i="6" s="1"/>
  <c r="AO960" i="6" a="1"/>
  <c r="AO960" i="6" s="1"/>
  <c r="AO891" i="6" a="1"/>
  <c r="AO891" i="6" s="1"/>
  <c r="AO817" i="6" a="1"/>
  <c r="AO817" i="6" s="1"/>
  <c r="AO692" i="6" a="1"/>
  <c r="AO692" i="6" s="1"/>
  <c r="AO476" i="6" a="1"/>
  <c r="AO476" i="6" s="1"/>
  <c r="AO176" i="6" a="1"/>
  <c r="AO176" i="6" s="1"/>
  <c r="AO1005" i="6" a="1"/>
  <c r="AO1005" i="6" s="1"/>
  <c r="AO959" i="6" a="1"/>
  <c r="AO959" i="6" s="1"/>
  <c r="AO934" i="6" a="1"/>
  <c r="AO934" i="6" s="1"/>
  <c r="AO925" i="6" a="1"/>
  <c r="AO925" i="6" s="1"/>
  <c r="AO916" i="6" a="1"/>
  <c r="AO916" i="6" s="1"/>
  <c r="AO908" i="6" a="1"/>
  <c r="AO908" i="6" s="1"/>
  <c r="AO899" i="6" a="1"/>
  <c r="AO899" i="6" s="1"/>
  <c r="AO890" i="6" a="1"/>
  <c r="AO890" i="6" s="1"/>
  <c r="AO880" i="6" a="1"/>
  <c r="AO880" i="6" s="1"/>
  <c r="AO871" i="6" a="1"/>
  <c r="AO871" i="6" s="1"/>
  <c r="AO864" i="6" a="1"/>
  <c r="AO864" i="6" s="1"/>
  <c r="AO854" i="6" a="1"/>
  <c r="AO854" i="6" s="1"/>
  <c r="AO845" i="6" a="1"/>
  <c r="AO845" i="6" s="1"/>
  <c r="AO837" i="6" a="1"/>
  <c r="AO837" i="6" s="1"/>
  <c r="AO799" i="6" a="1"/>
  <c r="AO799" i="6" s="1"/>
  <c r="AO739" i="6" a="1"/>
  <c r="AO739" i="6" s="1"/>
  <c r="AO690" i="6" a="1"/>
  <c r="AO690" i="6" s="1"/>
  <c r="AO674" i="6" a="1"/>
  <c r="AO674" i="6" s="1"/>
  <c r="AO659" i="6" a="1"/>
  <c r="AO659" i="6" s="1"/>
  <c r="AO610" i="6" a="1"/>
  <c r="AO610" i="6" s="1"/>
  <c r="AO593" i="6" a="1"/>
  <c r="AO593" i="6" s="1"/>
  <c r="AO554" i="6" a="1"/>
  <c r="AO554" i="6" s="1"/>
  <c r="AO508" i="6" a="1"/>
  <c r="AO508" i="6" s="1"/>
  <c r="AO474" i="6" a="1"/>
  <c r="AO474" i="6" s="1"/>
  <c r="AO440" i="6" a="1"/>
  <c r="AO440" i="6" s="1"/>
  <c r="AO408" i="6" a="1"/>
  <c r="AO408" i="6" s="1"/>
  <c r="AO343" i="6" a="1"/>
  <c r="AO343" i="6" s="1"/>
  <c r="AO308" i="6" a="1"/>
  <c r="AO308" i="6" s="1"/>
  <c r="AO275" i="6" a="1"/>
  <c r="AO275" i="6" s="1"/>
  <c r="AO240" i="6" a="1"/>
  <c r="AO240" i="6" s="1"/>
  <c r="AO207" i="6" a="1"/>
  <c r="AO207" i="6" s="1"/>
  <c r="AO174" i="6" a="1"/>
  <c r="AO174" i="6" s="1"/>
  <c r="AO141" i="6" a="1"/>
  <c r="AO141" i="6" s="1"/>
  <c r="AO109" i="6" a="1"/>
  <c r="AO109" i="6" s="1"/>
  <c r="AO76" i="6" a="1"/>
  <c r="AO76" i="6" s="1"/>
  <c r="AO44" i="6" a="1"/>
  <c r="AO44" i="6" s="1"/>
  <c r="AO354" i="6" a="1"/>
  <c r="AO354" i="6" s="1"/>
  <c r="AO22" i="6" a="1"/>
  <c r="AO22" i="6" s="1"/>
  <c r="AO993" i="6" a="1"/>
  <c r="AO993" i="6" s="1"/>
  <c r="AO927" i="6" a="1"/>
  <c r="AO927" i="6" s="1"/>
  <c r="AO742" i="6" a="1"/>
  <c r="AO742" i="6" s="1"/>
  <c r="AO418" i="6" a="1"/>
  <c r="AO418" i="6" s="1"/>
  <c r="AO999" i="6" a="1"/>
  <c r="AO999" i="6" s="1"/>
  <c r="AO900" i="6" a="1"/>
  <c r="AO900" i="6" s="1"/>
  <c r="AO847" i="6" a="1"/>
  <c r="AO847" i="6" s="1"/>
  <c r="AO772" i="6" a="1"/>
  <c r="AO772" i="6" s="1"/>
  <c r="AO643" i="6" a="1"/>
  <c r="AO643" i="6" s="1"/>
  <c r="AO538" i="6" a="1"/>
  <c r="AO538" i="6" s="1"/>
  <c r="AO111" i="6" a="1"/>
  <c r="AO111" i="6" s="1"/>
  <c r="AO1013" i="6" a="1"/>
  <c r="AO1013" i="6" s="1"/>
  <c r="AO1019" i="6" a="1"/>
  <c r="AO1019" i="6" s="1"/>
  <c r="AO1012" i="6" a="1"/>
  <c r="AO1012" i="6" s="1"/>
  <c r="AO1004" i="6" a="1"/>
  <c r="AO1004" i="6" s="1"/>
  <c r="AO997" i="6" a="1"/>
  <c r="AO997" i="6" s="1"/>
  <c r="AO984" i="6" a="1"/>
  <c r="AO984" i="6" s="1"/>
  <c r="AO975" i="6" a="1"/>
  <c r="AO975" i="6" s="1"/>
  <c r="AO967" i="6" a="1"/>
  <c r="AO967" i="6" s="1"/>
  <c r="AO958" i="6" a="1"/>
  <c r="AO958" i="6" s="1"/>
  <c r="AO950" i="6" a="1"/>
  <c r="AO950" i="6" s="1"/>
  <c r="AO941" i="6" a="1"/>
  <c r="AO941" i="6" s="1"/>
  <c r="AO933" i="6" a="1"/>
  <c r="AO933" i="6" s="1"/>
  <c r="AO915" i="6" a="1"/>
  <c r="AO915" i="6" s="1"/>
  <c r="AO907" i="6" a="1"/>
  <c r="AO907" i="6" s="1"/>
  <c r="AO898" i="6" a="1"/>
  <c r="AO898" i="6" s="1"/>
  <c r="AO889" i="6" a="1"/>
  <c r="AO889" i="6" s="1"/>
  <c r="AO863" i="6" a="1"/>
  <c r="AO863" i="6" s="1"/>
  <c r="AO844" i="6" a="1"/>
  <c r="AO844" i="6" s="1"/>
  <c r="AO836" i="6" a="1"/>
  <c r="AO836" i="6" s="1"/>
  <c r="AO827" i="6" a="1"/>
  <c r="AO827" i="6" s="1"/>
  <c r="AO815" i="6" a="1"/>
  <c r="AO815" i="6" s="1"/>
  <c r="AO769" i="6" a="1"/>
  <c r="AO769" i="6" s="1"/>
  <c r="AO753" i="6" a="1"/>
  <c r="AO753" i="6" s="1"/>
  <c r="AO736" i="6" a="1"/>
  <c r="AO736" i="6" s="1"/>
  <c r="AO721" i="6" a="1"/>
  <c r="AO721" i="6" s="1"/>
  <c r="AO705" i="6" a="1"/>
  <c r="AO705" i="6" s="1"/>
  <c r="AO656" i="6" a="1"/>
  <c r="AO656" i="6" s="1"/>
  <c r="AO624" i="6" a="1"/>
  <c r="AO624" i="6" s="1"/>
  <c r="AO608" i="6" a="1"/>
  <c r="AO608" i="6" s="1"/>
  <c r="AO591" i="6" a="1"/>
  <c r="AO591" i="6" s="1"/>
  <c r="AO572" i="6" a="1"/>
  <c r="AO572" i="6" s="1"/>
  <c r="AO536" i="6" a="1"/>
  <c r="AO536" i="6" s="1"/>
  <c r="AO472" i="6" a="1"/>
  <c r="AO472" i="6" s="1"/>
  <c r="AO438" i="6" a="1"/>
  <c r="AO438" i="6" s="1"/>
  <c r="AO406" i="6" a="1"/>
  <c r="AO406" i="6" s="1"/>
  <c r="AO373" i="6" a="1"/>
  <c r="AO373" i="6" s="1"/>
  <c r="AO341" i="6" a="1"/>
  <c r="AO341" i="6" s="1"/>
  <c r="AO306" i="6" a="1"/>
  <c r="AO306" i="6" s="1"/>
  <c r="AO273" i="6" a="1"/>
  <c r="AO273" i="6" s="1"/>
  <c r="AO238" i="6" a="1"/>
  <c r="AO238" i="6" s="1"/>
  <c r="AO206" i="6" a="1"/>
  <c r="AO206" i="6" s="1"/>
  <c r="AO172" i="6" a="1"/>
  <c r="AO172" i="6" s="1"/>
  <c r="AO139" i="6" a="1"/>
  <c r="AO139" i="6" s="1"/>
  <c r="AO107" i="6" a="1"/>
  <c r="AO107" i="6" s="1"/>
  <c r="AO74" i="6" a="1"/>
  <c r="AO74" i="6" s="1"/>
  <c r="AO3" i="6" a="1"/>
  <c r="AO3" i="6" s="1"/>
  <c r="AO16" i="6" a="1"/>
  <c r="AO16" i="6" s="1"/>
  <c r="AO24" i="6" a="1"/>
  <c r="AO24" i="6" s="1"/>
  <c r="AO35" i="6" a="1"/>
  <c r="AO35" i="6" s="1"/>
  <c r="AO46" i="6" a="1"/>
  <c r="AO46" i="6" s="1"/>
  <c r="AO67" i="6" a="1"/>
  <c r="AO67" i="6" s="1"/>
  <c r="AO79" i="6" a="1"/>
  <c r="AO79" i="6" s="1"/>
  <c r="AO89" i="6" a="1"/>
  <c r="AO89" i="6" s="1"/>
  <c r="AO101" i="6" a="1"/>
  <c r="AO101" i="6" s="1"/>
  <c r="AO112" i="6" a="1"/>
  <c r="AO112" i="6" s="1"/>
  <c r="AO133" i="6" a="1"/>
  <c r="AO133" i="6" s="1"/>
  <c r="AO144" i="6" a="1"/>
  <c r="AO144" i="6" s="1"/>
  <c r="AO155" i="6" a="1"/>
  <c r="AO155" i="6" s="1"/>
  <c r="AO165" i="6" a="1"/>
  <c r="AO165" i="6" s="1"/>
  <c r="AO188" i="6" a="1"/>
  <c r="AO188" i="6" s="1"/>
  <c r="AO200" i="6" a="1"/>
  <c r="AO200" i="6" s="1"/>
  <c r="AO210" i="6" a="1"/>
  <c r="AO210" i="6" s="1"/>
  <c r="AO222" i="6" a="1"/>
  <c r="AO222" i="6" s="1"/>
  <c r="AO232" i="6" a="1"/>
  <c r="AO232" i="6" s="1"/>
  <c r="AO243" i="6" a="1"/>
  <c r="AO243" i="6" s="1"/>
  <c r="AO255" i="6" a="1"/>
  <c r="AO255" i="6" s="1"/>
  <c r="AO267" i="6" a="1"/>
  <c r="AO267" i="6" s="1"/>
  <c r="AO278" i="6" a="1"/>
  <c r="AO278" i="6" s="1"/>
  <c r="AO289" i="6" a="1"/>
  <c r="AO289" i="6" s="1"/>
  <c r="AO300" i="6" a="1"/>
  <c r="AO300" i="6" s="1"/>
  <c r="AO310" i="6" a="1"/>
  <c r="AO310" i="6" s="1"/>
  <c r="AO322" i="6" a="1"/>
  <c r="AO322" i="6" s="1"/>
  <c r="AO334" i="6" a="1"/>
  <c r="AO334" i="6" s="1"/>
  <c r="AO345" i="6" a="1"/>
  <c r="AO345" i="6" s="1"/>
  <c r="AO356" i="6" a="1"/>
  <c r="AO356" i="6" s="1"/>
  <c r="AO367" i="6" a="1"/>
  <c r="AO367" i="6" s="1"/>
  <c r="AO377" i="6" a="1"/>
  <c r="AO377" i="6" s="1"/>
  <c r="AO388" i="6" a="1"/>
  <c r="AO388" i="6" s="1"/>
  <c r="AO399" i="6" a="1"/>
  <c r="AO399" i="6" s="1"/>
  <c r="AO421" i="6" a="1"/>
  <c r="AO421" i="6" s="1"/>
  <c r="AO431" i="6" a="1"/>
  <c r="AO431" i="6" s="1"/>
  <c r="AO442" i="6" a="1"/>
  <c r="AO442" i="6" s="1"/>
  <c r="AO454" i="6" a="1"/>
  <c r="AO454" i="6" s="1"/>
  <c r="AO465" i="6" a="1"/>
  <c r="AO465" i="6" s="1"/>
  <c r="AO477" i="6" a="1"/>
  <c r="AO477" i="6" s="1"/>
  <c r="AO488" i="6" a="1"/>
  <c r="AO488" i="6" s="1"/>
  <c r="AO500" i="6" a="1"/>
  <c r="AO500" i="6" s="1"/>
  <c r="AO511" i="6" a="1"/>
  <c r="AO511" i="6" s="1"/>
  <c r="AO522" i="6" a="1"/>
  <c r="AO522" i="6" s="1"/>
  <c r="AO548" i="6" a="1"/>
  <c r="AO548" i="6" s="1"/>
  <c r="AO555" i="6" a="1"/>
  <c r="AO555" i="6" s="1"/>
  <c r="AO565" i="6" a="1"/>
  <c r="AO565" i="6" s="1"/>
  <c r="AO573" i="6" a="1"/>
  <c r="AO573" i="6" s="1"/>
  <c r="AO580" i="6" a="1"/>
  <c r="AO580" i="6" s="1"/>
  <c r="AO589" i="6" a="1"/>
  <c r="AO589" i="6" s="1"/>
  <c r="AO597" i="6" a="1"/>
  <c r="AO597" i="6" s="1"/>
  <c r="AO604" i="6" a="1"/>
  <c r="AO604" i="6" s="1"/>
  <c r="AO613" i="6" a="1"/>
  <c r="AO613" i="6" s="1"/>
  <c r="AO628" i="6" a="1"/>
  <c r="AO628" i="6" s="1"/>
  <c r="AO646" i="6" a="1"/>
  <c r="AO646" i="6" s="1"/>
  <c r="AO653" i="6" a="1"/>
  <c r="AO653" i="6" s="1"/>
  <c r="AO670" i="6" a="1"/>
  <c r="AO670" i="6" s="1"/>
  <c r="AO677" i="6" a="1"/>
  <c r="AO677" i="6" s="1"/>
  <c r="AO694" i="6" a="1"/>
  <c r="AO694" i="6" s="1"/>
  <c r="AO701" i="6" a="1"/>
  <c r="AO701" i="6" s="1"/>
  <c r="AO710" i="6" a="1"/>
  <c r="AO710" i="6" s="1"/>
  <c r="AO719" i="6" a="1"/>
  <c r="AO719" i="6" s="1"/>
  <c r="AO726" i="6" a="1"/>
  <c r="AO726" i="6" s="1"/>
  <c r="AO734" i="6" a="1"/>
  <c r="AO734" i="6" s="1"/>
  <c r="AO743" i="6" a="1"/>
  <c r="AO743" i="6" s="1"/>
  <c r="AO750" i="6" a="1"/>
  <c r="AO750" i="6" s="1"/>
  <c r="AO758" i="6" a="1"/>
  <c r="AO758" i="6" s="1"/>
  <c r="AO767" i="6" a="1"/>
  <c r="AO767" i="6" s="1"/>
  <c r="AO775" i="6" a="1"/>
  <c r="AO775" i="6" s="1"/>
  <c r="AO783" i="6" a="1"/>
  <c r="AO783" i="6" s="1"/>
  <c r="AO800" i="6" a="1"/>
  <c r="AO800" i="6" s="1"/>
  <c r="AO10" i="6" a="1"/>
  <c r="AO10" i="6" s="1"/>
  <c r="AO17" i="6" a="1"/>
  <c r="AO17" i="6" s="1"/>
  <c r="AO25" i="6" a="1"/>
  <c r="AO25" i="6" s="1"/>
  <c r="AO36" i="6" a="1"/>
  <c r="AO36" i="6" s="1"/>
  <c r="AO47" i="6" a="1"/>
  <c r="AO47" i="6" s="1"/>
  <c r="AO57" i="6" a="1"/>
  <c r="AO57" i="6" s="1"/>
  <c r="AO68" i="6" a="1"/>
  <c r="AO68" i="6" s="1"/>
  <c r="AO80" i="6" a="1"/>
  <c r="AO80" i="6" s="1"/>
  <c r="AO90" i="6" a="1"/>
  <c r="AO90" i="6" s="1"/>
  <c r="AO102" i="6" a="1"/>
  <c r="AO102" i="6" s="1"/>
  <c r="AO113" i="6" a="1"/>
  <c r="AO113" i="6" s="1"/>
  <c r="AO123" i="6" a="1"/>
  <c r="AO123" i="6" s="1"/>
  <c r="AO134" i="6" a="1"/>
  <c r="AO134" i="6" s="1"/>
  <c r="AO145" i="6" a="1"/>
  <c r="AO145" i="6" s="1"/>
  <c r="AO156" i="6" a="1"/>
  <c r="AO156" i="6" s="1"/>
  <c r="AO166" i="6" a="1"/>
  <c r="AO166" i="6" s="1"/>
  <c r="AO177" i="6" a="1"/>
  <c r="AO177" i="6" s="1"/>
  <c r="AO189" i="6" a="1"/>
  <c r="AO189" i="6" s="1"/>
  <c r="AO211" i="6" a="1"/>
  <c r="AO211" i="6" s="1"/>
  <c r="AO223" i="6" a="1"/>
  <c r="AO223" i="6" s="1"/>
  <c r="AO233" i="6" a="1"/>
  <c r="AO233" i="6" s="1"/>
  <c r="AO244" i="6" a="1"/>
  <c r="AO244" i="6" s="1"/>
  <c r="AO256" i="6" a="1"/>
  <c r="AO256" i="6" s="1"/>
  <c r="AO268" i="6" a="1"/>
  <c r="AO268" i="6" s="1"/>
  <c r="AO290" i="6" a="1"/>
  <c r="AO290" i="6" s="1"/>
  <c r="AO301" i="6" a="1"/>
  <c r="AO301" i="6" s="1"/>
  <c r="AO311" i="6" a="1"/>
  <c r="AO311" i="6" s="1"/>
  <c r="AO323" i="6" a="1"/>
  <c r="AO323" i="6" s="1"/>
  <c r="AO335" i="6" a="1"/>
  <c r="AO335" i="6" s="1"/>
  <c r="AO346" i="6" a="1"/>
  <c r="AO346" i="6" s="1"/>
  <c r="AO368" i="6" a="1"/>
  <c r="AO368" i="6" s="1"/>
  <c r="AO378" i="6" a="1"/>
  <c r="AO378" i="6" s="1"/>
  <c r="AO389" i="6" a="1"/>
  <c r="AO389" i="6" s="1"/>
  <c r="AO400" i="6" a="1"/>
  <c r="AO400" i="6" s="1"/>
  <c r="AO411" i="6" a="1"/>
  <c r="AO411" i="6" s="1"/>
  <c r="AO422" i="6" a="1"/>
  <c r="AO422" i="6" s="1"/>
  <c r="AO432" i="6" a="1"/>
  <c r="AO432" i="6" s="1"/>
  <c r="AO443" i="6" a="1"/>
  <c r="AO443" i="6" s="1"/>
  <c r="AO455" i="6" a="1"/>
  <c r="AO455" i="6" s="1"/>
  <c r="AO466" i="6" a="1"/>
  <c r="AO466" i="6" s="1"/>
  <c r="AO478" i="6" a="1"/>
  <c r="AO478" i="6" s="1"/>
  <c r="AO489" i="6" a="1"/>
  <c r="AO489" i="6" s="1"/>
  <c r="AO501" i="6" a="1"/>
  <c r="AO501" i="6" s="1"/>
  <c r="AO512" i="6" a="1"/>
  <c r="AO512" i="6" s="1"/>
  <c r="AO523" i="6" a="1"/>
  <c r="AO523" i="6" s="1"/>
  <c r="AO531" i="6" a="1"/>
  <c r="AO531" i="6" s="1"/>
  <c r="AO540" i="6" a="1"/>
  <c r="AO540" i="6" s="1"/>
  <c r="AO549" i="6" a="1"/>
  <c r="AO549" i="6" s="1"/>
  <c r="AO556" i="6" a="1"/>
  <c r="AO556" i="6" s="1"/>
  <c r="AO574" i="6" a="1"/>
  <c r="AO574" i="6" s="1"/>
  <c r="AO581" i="6" a="1"/>
  <c r="AO581" i="6" s="1"/>
  <c r="AO598" i="6" a="1"/>
  <c r="AO598" i="6" s="1"/>
  <c r="AO605" i="6" a="1"/>
  <c r="AO605" i="6" s="1"/>
  <c r="AO622" i="6" a="1"/>
  <c r="AO622" i="6" s="1"/>
  <c r="AO629" i="6" a="1"/>
  <c r="AO629" i="6" s="1"/>
  <c r="AO638" i="6" a="1"/>
  <c r="AO638" i="6" s="1"/>
  <c r="AO647" i="6" a="1"/>
  <c r="AO647" i="6" s="1"/>
  <c r="AO654" i="6" a="1"/>
  <c r="AO654" i="6" s="1"/>
  <c r="AO662" i="6" a="1"/>
  <c r="AO662" i="6" s="1"/>
  <c r="AO671" i="6" a="1"/>
  <c r="AO671" i="6" s="1"/>
  <c r="AO678" i="6" a="1"/>
  <c r="AO678" i="6" s="1"/>
  <c r="AO686" i="6" a="1"/>
  <c r="AO686" i="6" s="1"/>
  <c r="AO695" i="6" a="1"/>
  <c r="AO695" i="6" s="1"/>
  <c r="AO702" i="6" a="1"/>
  <c r="AO702" i="6" s="1"/>
  <c r="AO751" i="6" a="1"/>
  <c r="AO751" i="6" s="1"/>
  <c r="AO776" i="6" a="1"/>
  <c r="AO776" i="6" s="1"/>
  <c r="AO4" i="6" a="1"/>
  <c r="AO4" i="6" s="1"/>
  <c r="AO11" i="6" a="1"/>
  <c r="AO11" i="6" s="1"/>
  <c r="AO26" i="6" a="1"/>
  <c r="AO26" i="6" s="1"/>
  <c r="AO37" i="6" a="1"/>
  <c r="AO37" i="6" s="1"/>
  <c r="AO48" i="6" a="1"/>
  <c r="AO48" i="6" s="1"/>
  <c r="AO58" i="6" a="1"/>
  <c r="AO58" i="6" s="1"/>
  <c r="AO69" i="6" a="1"/>
  <c r="AO69" i="6" s="1"/>
  <c r="AO91" i="6" a="1"/>
  <c r="AO91" i="6" s="1"/>
  <c r="AO103" i="6" a="1"/>
  <c r="AO103" i="6" s="1"/>
  <c r="AO114" i="6" a="1"/>
  <c r="AO114" i="6" s="1"/>
  <c r="AO124" i="6" a="1"/>
  <c r="AO124" i="6" s="1"/>
  <c r="AO146" i="6" a="1"/>
  <c r="AO146" i="6" s="1"/>
  <c r="AO157" i="6" a="1"/>
  <c r="AO157" i="6" s="1"/>
  <c r="AO167" i="6" a="1"/>
  <c r="AO167" i="6" s="1"/>
  <c r="AO178" i="6" a="1"/>
  <c r="AO178" i="6" s="1"/>
  <c r="AO190" i="6" a="1"/>
  <c r="AO190" i="6" s="1"/>
  <c r="AO201" i="6" a="1"/>
  <c r="AO201" i="6" s="1"/>
  <c r="AO212" i="6" a="1"/>
  <c r="AO212" i="6" s="1"/>
  <c r="AO224" i="6" a="1"/>
  <c r="AO224" i="6" s="1"/>
  <c r="AO234" i="6" a="1"/>
  <c r="AO234" i="6" s="1"/>
  <c r="AO245" i="6" a="1"/>
  <c r="AO245" i="6" s="1"/>
  <c r="AO257" i="6" a="1"/>
  <c r="AO257" i="6" s="1"/>
  <c r="AO269" i="6" a="1"/>
  <c r="AO269" i="6" s="1"/>
  <c r="AO279" i="6" a="1"/>
  <c r="AO279" i="6" s="1"/>
  <c r="AO291" i="6" a="1"/>
  <c r="AO291" i="6" s="1"/>
  <c r="AO302" i="6" a="1"/>
  <c r="AO302" i="6" s="1"/>
  <c r="AO312" i="6" a="1"/>
  <c r="AO312" i="6" s="1"/>
  <c r="AO324" i="6" a="1"/>
  <c r="AO324" i="6" s="1"/>
  <c r="AO336" i="6" a="1"/>
  <c r="AO336" i="6" s="1"/>
  <c r="AO347" i="6" a="1"/>
  <c r="AO347" i="6" s="1"/>
  <c r="AO357" i="6" a="1"/>
  <c r="AO357" i="6" s="1"/>
  <c r="AO379" i="6" a="1"/>
  <c r="AO379" i="6" s="1"/>
  <c r="AO390" i="6" a="1"/>
  <c r="AO390" i="6" s="1"/>
  <c r="AO401" i="6" a="1"/>
  <c r="AO401" i="6" s="1"/>
  <c r="AO412" i="6" a="1"/>
  <c r="AO412" i="6" s="1"/>
  <c r="AO433" i="6" a="1"/>
  <c r="AO433" i="6" s="1"/>
  <c r="AO444" i="6" a="1"/>
  <c r="AO444" i="6" s="1"/>
  <c r="AO456" i="6" a="1"/>
  <c r="AO456" i="6" s="1"/>
  <c r="AO467" i="6" a="1"/>
  <c r="AO467" i="6" s="1"/>
  <c r="AO479" i="6" a="1"/>
  <c r="AO479" i="6" s="1"/>
  <c r="AO490" i="6" a="1"/>
  <c r="AO490" i="6" s="1"/>
  <c r="AO502" i="6" a="1"/>
  <c r="AO502" i="6" s="1"/>
  <c r="AO557" i="6" a="1"/>
  <c r="AO557" i="6" s="1"/>
  <c r="AO566" i="6" a="1"/>
  <c r="AO566" i="6" s="1"/>
  <c r="AO575" i="6" a="1"/>
  <c r="AO575" i="6" s="1"/>
  <c r="AO582" i="6" a="1"/>
  <c r="AO582" i="6" s="1"/>
  <c r="AO590" i="6" a="1"/>
  <c r="AO590" i="6" s="1"/>
  <c r="AO599" i="6" a="1"/>
  <c r="AO599" i="6" s="1"/>
  <c r="AO606" i="6" a="1"/>
  <c r="AO606" i="6" s="1"/>
  <c r="AO614" i="6" a="1"/>
  <c r="AO614" i="6" s="1"/>
  <c r="AO623" i="6" a="1"/>
  <c r="AO623" i="6" s="1"/>
  <c r="AO630" i="6" a="1"/>
  <c r="AO630" i="6" s="1"/>
  <c r="AO679" i="6" a="1"/>
  <c r="AO679" i="6" s="1"/>
  <c r="AO703" i="6" a="1"/>
  <c r="AO703" i="6" s="1"/>
  <c r="AO711" i="6" a="1"/>
  <c r="AO711" i="6" s="1"/>
  <c r="AO720" i="6" a="1"/>
  <c r="AO720" i="6" s="1"/>
  <c r="AO727" i="6" a="1"/>
  <c r="AO727" i="6" s="1"/>
  <c r="AO735" i="6" a="1"/>
  <c r="AO735" i="6" s="1"/>
  <c r="AO744" i="6" a="1"/>
  <c r="AO744" i="6" s="1"/>
  <c r="AO752" i="6" a="1"/>
  <c r="AO752" i="6" s="1"/>
  <c r="AO759" i="6" a="1"/>
  <c r="AO759" i="6" s="1"/>
  <c r="AO768" i="6" a="1"/>
  <c r="AO768" i="6" s="1"/>
  <c r="AO777" i="6" a="1"/>
  <c r="AO777" i="6" s="1"/>
  <c r="AO784" i="6" a="1"/>
  <c r="AO784" i="6" s="1"/>
  <c r="AO802" i="6" a="1"/>
  <c r="AO802" i="6" s="1"/>
  <c r="AO811" i="6" a="1"/>
  <c r="AO811" i="6" s="1"/>
  <c r="AO5" i="6" a="1"/>
  <c r="AO5" i="6" s="1"/>
  <c r="AO18" i="6" a="1"/>
  <c r="AO18" i="6" s="1"/>
  <c r="AO27" i="6" a="1"/>
  <c r="AO27" i="6" s="1"/>
  <c r="AO38" i="6" a="1"/>
  <c r="AO38" i="6" s="1"/>
  <c r="AO49" i="6" a="1"/>
  <c r="AO49" i="6" s="1"/>
  <c r="AO59" i="6" a="1"/>
  <c r="AO59" i="6" s="1"/>
  <c r="AO70" i="6" a="1"/>
  <c r="AO70" i="6" s="1"/>
  <c r="AO81" i="6" a="1"/>
  <c r="AO81" i="6" s="1"/>
  <c r="AO92" i="6" a="1"/>
  <c r="AO92" i="6" s="1"/>
  <c r="AO104" i="6" a="1"/>
  <c r="AO104" i="6" s="1"/>
  <c r="AO115" i="6" a="1"/>
  <c r="AO115" i="6" s="1"/>
  <c r="AO125" i="6" a="1"/>
  <c r="AO125" i="6" s="1"/>
  <c r="AO135" i="6" a="1"/>
  <c r="AO135" i="6" s="1"/>
  <c r="AO147" i="6" a="1"/>
  <c r="AO147" i="6" s="1"/>
  <c r="AO158" i="6" a="1"/>
  <c r="AO158" i="6" s="1"/>
  <c r="AO168" i="6" a="1"/>
  <c r="AO168" i="6" s="1"/>
  <c r="AO179" i="6" a="1"/>
  <c r="AO179" i="6" s="1"/>
  <c r="AO191" i="6" a="1"/>
  <c r="AO191" i="6" s="1"/>
  <c r="AO202" i="6" a="1"/>
  <c r="AO202" i="6" s="1"/>
  <c r="AO213" i="6" a="1"/>
  <c r="AO213" i="6" s="1"/>
  <c r="AO235" i="6" a="1"/>
  <c r="AO235" i="6" s="1"/>
  <c r="AO246" i="6" a="1"/>
  <c r="AO246" i="6" s="1"/>
  <c r="AO258" i="6" a="1"/>
  <c r="AO258" i="6" s="1"/>
  <c r="AO270" i="6" a="1"/>
  <c r="AO270" i="6" s="1"/>
  <c r="AO280" i="6" a="1"/>
  <c r="AO280" i="6" s="1"/>
  <c r="AO292" i="6" a="1"/>
  <c r="AO292" i="6" s="1"/>
  <c r="AO313" i="6" a="1"/>
  <c r="AO313" i="6" s="1"/>
  <c r="AO325" i="6" a="1"/>
  <c r="AO325" i="6" s="1"/>
  <c r="AO337" i="6" a="1"/>
  <c r="AO337" i="6" s="1"/>
  <c r="AO348" i="6" a="1"/>
  <c r="AO348" i="6" s="1"/>
  <c r="AO358" i="6" a="1"/>
  <c r="AO358" i="6" s="1"/>
  <c r="AO369" i="6" a="1"/>
  <c r="AO369" i="6" s="1"/>
  <c r="AO380" i="6" a="1"/>
  <c r="AO380" i="6" s="1"/>
  <c r="AO391" i="6" a="1"/>
  <c r="AO391" i="6" s="1"/>
  <c r="AO402" i="6" a="1"/>
  <c r="AO402" i="6" s="1"/>
  <c r="AO413" i="6" a="1"/>
  <c r="AO413" i="6" s="1"/>
  <c r="AO423" i="6" a="1"/>
  <c r="AO423" i="6" s="1"/>
  <c r="AO434" i="6" a="1"/>
  <c r="AO434" i="6" s="1"/>
  <c r="AO445" i="6" a="1"/>
  <c r="AO445" i="6" s="1"/>
  <c r="AO457" i="6" a="1"/>
  <c r="AO457" i="6" s="1"/>
  <c r="AO468" i="6" a="1"/>
  <c r="AO468" i="6" s="1"/>
  <c r="AO480" i="6" a="1"/>
  <c r="AO480" i="6" s="1"/>
  <c r="AO491" i="6" a="1"/>
  <c r="AO491" i="6" s="1"/>
  <c r="AO503" i="6" a="1"/>
  <c r="AO503" i="6" s="1"/>
  <c r="AO513" i="6" a="1"/>
  <c r="AO513" i="6" s="1"/>
  <c r="AO524" i="6" a="1"/>
  <c r="AO524" i="6" s="1"/>
  <c r="AO532" i="6" a="1"/>
  <c r="AO532" i="6" s="1"/>
  <c r="AO541" i="6" a="1"/>
  <c r="AO541" i="6" s="1"/>
  <c r="AO550" i="6" a="1"/>
  <c r="AO550" i="6" s="1"/>
  <c r="AO558" i="6" a="1"/>
  <c r="AO558" i="6" s="1"/>
  <c r="AO607" i="6" a="1"/>
  <c r="AO607" i="6" s="1"/>
  <c r="AO631" i="6" a="1"/>
  <c r="AO631" i="6" s="1"/>
  <c r="AO639" i="6" a="1"/>
  <c r="AO639" i="6" s="1"/>
  <c r="AO648" i="6" a="1"/>
  <c r="AO648" i="6" s="1"/>
  <c r="AO655" i="6" a="1"/>
  <c r="AO655" i="6" s="1"/>
  <c r="AO663" i="6" a="1"/>
  <c r="AO663" i="6" s="1"/>
  <c r="AO672" i="6" a="1"/>
  <c r="AO672" i="6" s="1"/>
  <c r="AO680" i="6" a="1"/>
  <c r="AO680" i="6" s="1"/>
  <c r="AO687" i="6" a="1"/>
  <c r="AO687" i="6" s="1"/>
  <c r="AO696" i="6" a="1"/>
  <c r="AO696" i="6" s="1"/>
  <c r="AO704" i="6" a="1"/>
  <c r="AO704" i="6" s="1"/>
  <c r="AO728" i="6" a="1"/>
  <c r="AO728" i="6" s="1"/>
  <c r="AO778" i="6" a="1"/>
  <c r="AO778" i="6" s="1"/>
  <c r="AO785" i="6" a="1"/>
  <c r="AO785" i="6" s="1"/>
  <c r="AO794" i="6" a="1"/>
  <c r="AO794" i="6" s="1"/>
  <c r="AO803" i="6" a="1"/>
  <c r="AO803" i="6" s="1"/>
  <c r="AO820" i="6" a="1"/>
  <c r="AO820" i="6" s="1"/>
  <c r="AO12" i="6" a="1"/>
  <c r="AO12" i="6" s="1"/>
  <c r="AO28" i="6" a="1"/>
  <c r="AO28" i="6" s="1"/>
  <c r="AO39" i="6" a="1"/>
  <c r="AO39" i="6" s="1"/>
  <c r="AO50" i="6" a="1"/>
  <c r="AO50" i="6" s="1"/>
  <c r="AO60" i="6" a="1"/>
  <c r="AO60" i="6" s="1"/>
  <c r="AO71" i="6" a="1"/>
  <c r="AO71" i="6" s="1"/>
  <c r="AO82" i="6" a="1"/>
  <c r="AO82" i="6" s="1"/>
  <c r="AO93" i="6" a="1"/>
  <c r="AO93" i="6" s="1"/>
  <c r="AO116" i="6" a="1"/>
  <c r="AO116" i="6" s="1"/>
  <c r="AO126" i="6" a="1"/>
  <c r="AO126" i="6" s="1"/>
  <c r="AO136" i="6" a="1"/>
  <c r="AO136" i="6" s="1"/>
  <c r="AO148" i="6" a="1"/>
  <c r="AO148" i="6" s="1"/>
  <c r="AO169" i="6" a="1"/>
  <c r="AO169" i="6" s="1"/>
  <c r="AO180" i="6" a="1"/>
  <c r="AO180" i="6" s="1"/>
  <c r="AO192" i="6" a="1"/>
  <c r="AO192" i="6" s="1"/>
  <c r="AO203" i="6" a="1"/>
  <c r="AO203" i="6" s="1"/>
  <c r="AO214" i="6" a="1"/>
  <c r="AO214" i="6" s="1"/>
  <c r="AO225" i="6" a="1"/>
  <c r="AO225" i="6" s="1"/>
  <c r="AO236" i="6" a="1"/>
  <c r="AO236" i="6" s="1"/>
  <c r="AO247" i="6" a="1"/>
  <c r="AO247" i="6" s="1"/>
  <c r="AO259" i="6" a="1"/>
  <c r="AO259" i="6" s="1"/>
  <c r="AO271" i="6" a="1"/>
  <c r="AO271" i="6" s="1"/>
  <c r="AO281" i="6" a="1"/>
  <c r="AO281" i="6" s="1"/>
  <c r="AO293" i="6" a="1"/>
  <c r="AO293" i="6" s="1"/>
  <c r="AO303" i="6" a="1"/>
  <c r="AO303" i="6" s="1"/>
  <c r="AO314" i="6" a="1"/>
  <c r="AO314" i="6" s="1"/>
  <c r="AO326" i="6" a="1"/>
  <c r="AO326" i="6" s="1"/>
  <c r="AO338" i="6" a="1"/>
  <c r="AO338" i="6" s="1"/>
  <c r="AO349" i="6" a="1"/>
  <c r="AO349" i="6" s="1"/>
  <c r="AO359" i="6" a="1"/>
  <c r="AO359" i="6" s="1"/>
  <c r="AO370" i="6" a="1"/>
  <c r="AO370" i="6" s="1"/>
  <c r="AO392" i="6" a="1"/>
  <c r="AO392" i="6" s="1"/>
  <c r="AO403" i="6" a="1"/>
  <c r="AO403" i="6" s="1"/>
  <c r="AO414" i="6" a="1"/>
  <c r="AO414" i="6" s="1"/>
  <c r="AO424" i="6" a="1"/>
  <c r="AO424" i="6" s="1"/>
  <c r="AO435" i="6" a="1"/>
  <c r="AO435" i="6" s="1"/>
  <c r="AO446" i="6" a="1"/>
  <c r="AO446" i="6" s="1"/>
  <c r="AO458" i="6" a="1"/>
  <c r="AO458" i="6" s="1"/>
  <c r="AO469" i="6" a="1"/>
  <c r="AO469" i="6" s="1"/>
  <c r="AO481" i="6" a="1"/>
  <c r="AO481" i="6" s="1"/>
  <c r="AO492" i="6" a="1"/>
  <c r="AO492" i="6" s="1"/>
  <c r="AO504" i="6" a="1"/>
  <c r="AO504" i="6" s="1"/>
  <c r="AO514" i="6" a="1"/>
  <c r="AO514" i="6" s="1"/>
  <c r="AO525" i="6" a="1"/>
  <c r="AO525" i="6" s="1"/>
  <c r="AO533" i="6" a="1"/>
  <c r="AO533" i="6" s="1"/>
  <c r="AO551" i="6" a="1"/>
  <c r="AO551" i="6" s="1"/>
  <c r="AO559" i="6" a="1"/>
  <c r="AO559" i="6" s="1"/>
  <c r="AO567" i="6" a="1"/>
  <c r="AO567" i="6" s="1"/>
  <c r="AO576" i="6" a="1"/>
  <c r="AO576" i="6" s="1"/>
  <c r="AO6" i="6" a="1"/>
  <c r="AO6" i="6" s="1"/>
  <c r="AO19" i="6" a="1"/>
  <c r="AO19" i="6" s="1"/>
  <c r="AO29" i="6" a="1"/>
  <c r="AO29" i="6" s="1"/>
  <c r="AO40" i="6" a="1"/>
  <c r="AO40" i="6" s="1"/>
  <c r="AO61" i="6" a="1"/>
  <c r="AO61" i="6" s="1"/>
  <c r="AO72" i="6" a="1"/>
  <c r="AO72" i="6" s="1"/>
  <c r="AO83" i="6" a="1"/>
  <c r="AO83" i="6" s="1"/>
  <c r="AO94" i="6" a="1"/>
  <c r="AO94" i="6" s="1"/>
  <c r="AO105" i="6" a="1"/>
  <c r="AO105" i="6" s="1"/>
  <c r="AO127" i="6" a="1"/>
  <c r="AO127" i="6" s="1"/>
  <c r="AO137" i="6" a="1"/>
  <c r="AO137" i="6" s="1"/>
  <c r="AO149" i="6" a="1"/>
  <c r="AO149" i="6" s="1"/>
  <c r="AO159" i="6" a="1"/>
  <c r="AO159" i="6" s="1"/>
  <c r="AO170" i="6" a="1"/>
  <c r="AO170" i="6" s="1"/>
  <c r="AO181" i="6" a="1"/>
  <c r="AO181" i="6" s="1"/>
  <c r="AO193" i="6" a="1"/>
  <c r="AO193" i="6" s="1"/>
  <c r="AO204" i="6" a="1"/>
  <c r="AO204" i="6" s="1"/>
  <c r="AO215" i="6" a="1"/>
  <c r="AO215" i="6" s="1"/>
  <c r="AO226" i="6" a="1"/>
  <c r="AO226" i="6" s="1"/>
  <c r="AO248" i="6" a="1"/>
  <c r="AO248" i="6" s="1"/>
  <c r="AO260" i="6" a="1"/>
  <c r="AO260" i="6" s="1"/>
  <c r="AO272" i="6" a="1"/>
  <c r="AO272" i="6" s="1"/>
  <c r="AO282" i="6" a="1"/>
  <c r="AO282" i="6" s="1"/>
  <c r="AO294" i="6" a="1"/>
  <c r="AO294" i="6" s="1"/>
  <c r="AO304" i="6" a="1"/>
  <c r="AO304" i="6" s="1"/>
  <c r="AO315" i="6" a="1"/>
  <c r="AO315" i="6" s="1"/>
  <c r="AO327" i="6" a="1"/>
  <c r="AO327" i="6" s="1"/>
  <c r="AO339" i="6" a="1"/>
  <c r="AO339" i="6" s="1"/>
  <c r="AO350" i="6" a="1"/>
  <c r="AO350" i="6" s="1"/>
  <c r="AO360" i="6" a="1"/>
  <c r="AO360" i="6" s="1"/>
  <c r="AO371" i="6" a="1"/>
  <c r="AO371" i="6" s="1"/>
  <c r="AO381" i="6" a="1"/>
  <c r="AO381" i="6" s="1"/>
  <c r="AO404" i="6" a="1"/>
  <c r="AO404" i="6" s="1"/>
  <c r="AO415" i="6" a="1"/>
  <c r="AO415" i="6" s="1"/>
  <c r="AO425" i="6" a="1"/>
  <c r="AO425" i="6" s="1"/>
  <c r="AO436" i="6" a="1"/>
  <c r="AO436" i="6" s="1"/>
  <c r="AO447" i="6" a="1"/>
  <c r="AO447" i="6" s="1"/>
  <c r="AO459" i="6" a="1"/>
  <c r="AO459" i="6" s="1"/>
  <c r="AO470" i="6" a="1"/>
  <c r="AO470" i="6" s="1"/>
  <c r="AO482" i="6" a="1"/>
  <c r="AO482" i="6" s="1"/>
  <c r="AO493" i="6" a="1"/>
  <c r="AO493" i="6" s="1"/>
  <c r="AO505" i="6" a="1"/>
  <c r="AO505" i="6" s="1"/>
  <c r="AO515" i="6" a="1"/>
  <c r="AO515" i="6" s="1"/>
  <c r="AO526" i="6" a="1"/>
  <c r="AO526" i="6" s="1"/>
  <c r="AO534" i="6" a="1"/>
  <c r="AO534" i="6" s="1"/>
  <c r="AO542" i="6" a="1"/>
  <c r="AO542" i="6" s="1"/>
  <c r="AO560" i="6" a="1"/>
  <c r="AO560" i="6" s="1"/>
  <c r="AO584" i="6" a="1"/>
  <c r="AO584" i="6" s="1"/>
  <c r="AO633" i="6" a="1"/>
  <c r="AO633" i="6" s="1"/>
  <c r="AO640" i="6" a="1"/>
  <c r="AO640" i="6" s="1"/>
  <c r="AO649" i="6" a="1"/>
  <c r="AO649" i="6" s="1"/>
  <c r="AO657" i="6" a="1"/>
  <c r="AO657" i="6" s="1"/>
  <c r="AO664" i="6" a="1"/>
  <c r="AO664" i="6" s="1"/>
  <c r="AO673" i="6" a="1"/>
  <c r="AO673" i="6" s="1"/>
  <c r="AO681" i="6" a="1"/>
  <c r="AO681" i="6" s="1"/>
  <c r="AO688" i="6" a="1"/>
  <c r="AO688" i="6" s="1"/>
  <c r="AO697" i="6" a="1"/>
  <c r="AO697" i="6" s="1"/>
  <c r="AO706" i="6" a="1"/>
  <c r="AO706" i="6" s="1"/>
  <c r="AO713" i="6" a="1"/>
  <c r="AO713" i="6" s="1"/>
  <c r="AO730" i="6" a="1"/>
  <c r="AO730" i="6" s="1"/>
  <c r="AO737" i="6" a="1"/>
  <c r="AO737" i="6" s="1"/>
  <c r="AO754" i="6" a="1"/>
  <c r="AO754" i="6" s="1"/>
  <c r="AO761" i="6" a="1"/>
  <c r="AO761" i="6" s="1"/>
  <c r="AO786" i="6" a="1"/>
  <c r="AO786" i="6" s="1"/>
  <c r="AO795" i="6" a="1"/>
  <c r="AO795" i="6" s="1"/>
  <c r="AO805" i="6" a="1"/>
  <c r="AO805" i="6" s="1"/>
  <c r="AO813" i="6" a="1"/>
  <c r="AO813" i="6" s="1"/>
  <c r="AO822" i="6" a="1"/>
  <c r="AO822" i="6" s="1"/>
  <c r="AO13" i="6" a="1"/>
  <c r="AO13" i="6" s="1"/>
  <c r="AO30" i="6" a="1"/>
  <c r="AO30" i="6" s="1"/>
  <c r="AO41" i="6" a="1"/>
  <c r="AO41" i="6" s="1"/>
  <c r="AO51" i="6" a="1"/>
  <c r="AO51" i="6" s="1"/>
  <c r="AO62" i="6" a="1"/>
  <c r="AO62" i="6" s="1"/>
  <c r="AO73" i="6" a="1"/>
  <c r="AO73" i="6" s="1"/>
  <c r="AO84" i="6" a="1"/>
  <c r="AO84" i="6" s="1"/>
  <c r="AO95" i="6" a="1"/>
  <c r="AO95" i="6" s="1"/>
  <c r="AO106" i="6" a="1"/>
  <c r="AO106" i="6" s="1"/>
  <c r="AO117" i="6" a="1"/>
  <c r="AO117" i="6" s="1"/>
  <c r="AO128" i="6" a="1"/>
  <c r="AO128" i="6" s="1"/>
  <c r="AO138" i="6" a="1"/>
  <c r="AO138" i="6" s="1"/>
  <c r="AO150" i="6" a="1"/>
  <c r="AO150" i="6" s="1"/>
  <c r="AO160" i="6" a="1"/>
  <c r="AO160" i="6" s="1"/>
  <c r="AO171" i="6" a="1"/>
  <c r="AO171" i="6" s="1"/>
  <c r="AO182" i="6" a="1"/>
  <c r="AO182" i="6" s="1"/>
  <c r="AO194" i="6" a="1"/>
  <c r="AO194" i="6" s="1"/>
  <c r="AO205" i="6" a="1"/>
  <c r="AO205" i="6" s="1"/>
  <c r="AO216" i="6" a="1"/>
  <c r="AO216" i="6" s="1"/>
  <c r="AO227" i="6" a="1"/>
  <c r="AO227" i="6" s="1"/>
  <c r="AO237" i="6" a="1"/>
  <c r="AO237" i="6" s="1"/>
  <c r="AO249" i="6" a="1"/>
  <c r="AO249" i="6" s="1"/>
  <c r="AO261" i="6" a="1"/>
  <c r="AO261" i="6" s="1"/>
  <c r="AO283" i="6" a="1"/>
  <c r="AO283" i="6" s="1"/>
  <c r="AO295" i="6" a="1"/>
  <c r="AO295" i="6" s="1"/>
  <c r="AO305" i="6" a="1"/>
  <c r="AO305" i="6" s="1"/>
  <c r="AO316" i="6" a="1"/>
  <c r="AO316" i="6" s="1"/>
  <c r="AO328" i="6" a="1"/>
  <c r="AO328" i="6" s="1"/>
  <c r="AO340" i="6" a="1"/>
  <c r="AO340" i="6" s="1"/>
  <c r="AO361" i="6" a="1"/>
  <c r="AO361" i="6" s="1"/>
  <c r="AO372" i="6" a="1"/>
  <c r="AO372" i="6" s="1"/>
  <c r="AO382" i="6" a="1"/>
  <c r="AO382" i="6" s="1"/>
  <c r="AO393" i="6" a="1"/>
  <c r="AO393" i="6" s="1"/>
  <c r="AO405" i="6" a="1"/>
  <c r="AO405" i="6" s="1"/>
  <c r="AO416" i="6" a="1"/>
  <c r="AO416" i="6" s="1"/>
  <c r="AO426" i="6" a="1"/>
  <c r="AO426" i="6" s="1"/>
  <c r="AO437" i="6" a="1"/>
  <c r="AO437" i="6" s="1"/>
  <c r="AO448" i="6" a="1"/>
  <c r="AO448" i="6" s="1"/>
  <c r="AO460" i="6" a="1"/>
  <c r="AO460" i="6" s="1"/>
  <c r="AO471" i="6" a="1"/>
  <c r="AO471" i="6" s="1"/>
  <c r="AO494" i="6" a="1"/>
  <c r="AO494" i="6" s="1"/>
  <c r="AO506" i="6" a="1"/>
  <c r="AO506" i="6" s="1"/>
  <c r="AO516" i="6" a="1"/>
  <c r="AO516" i="6" s="1"/>
  <c r="AO527" i="6" a="1"/>
  <c r="AO527" i="6" s="1"/>
  <c r="AO535" i="6" a="1"/>
  <c r="AO535" i="6" s="1"/>
  <c r="AO543" i="6" a="1"/>
  <c r="AO543" i="6" s="1"/>
  <c r="AO552" i="6" a="1"/>
  <c r="AO552" i="6" s="1"/>
  <c r="AO561" i="6" a="1"/>
  <c r="AO561" i="6" s="1"/>
  <c r="AO568" i="6" a="1"/>
  <c r="AO568" i="6" s="1"/>
  <c r="AO577" i="6" a="1"/>
  <c r="AO577" i="6" s="1"/>
  <c r="AO585" i="6" a="1"/>
  <c r="AO585" i="6" s="1"/>
  <c r="AO592" i="6" a="1"/>
  <c r="AO592" i="6" s="1"/>
  <c r="AO601" i="6" a="1"/>
  <c r="AO601" i="6" s="1"/>
  <c r="AO609" i="6" a="1"/>
  <c r="AO609" i="6" s="1"/>
  <c r="AO616" i="6" a="1"/>
  <c r="AO616" i="6" s="1"/>
  <c r="AO625" i="6" a="1"/>
  <c r="AO625" i="6" s="1"/>
  <c r="AO634" i="6" a="1"/>
  <c r="AO634" i="6" s="1"/>
  <c r="AO641" i="6" a="1"/>
  <c r="AO641" i="6" s="1"/>
  <c r="AO658" i="6" a="1"/>
  <c r="AO658" i="6" s="1"/>
  <c r="AO665" i="6" a="1"/>
  <c r="AO665" i="6" s="1"/>
  <c r="AO682" i="6" a="1"/>
  <c r="AO682" i="6" s="1"/>
  <c r="AO689" i="6" a="1"/>
  <c r="AO689" i="6" s="1"/>
  <c r="AO707" i="6" a="1"/>
  <c r="AO707" i="6" s="1"/>
  <c r="AO722" i="6" a="1"/>
  <c r="AO722" i="6" s="1"/>
  <c r="AO731" i="6" a="1"/>
  <c r="AO731" i="6" s="1"/>
  <c r="AO738" i="6" a="1"/>
  <c r="AO738" i="6" s="1"/>
  <c r="AO746" i="6" a="1"/>
  <c r="AO746" i="6" s="1"/>
  <c r="AO755" i="6" a="1"/>
  <c r="AO755" i="6" s="1"/>
  <c r="AO762" i="6" a="1"/>
  <c r="AO762" i="6" s="1"/>
  <c r="AO770" i="6" a="1"/>
  <c r="AO770" i="6" s="1"/>
  <c r="AO780" i="6" a="1"/>
  <c r="AO780" i="6" s="1"/>
  <c r="AO787" i="6" a="1"/>
  <c r="AO787" i="6" s="1"/>
  <c r="AO814" i="6" a="1"/>
  <c r="AO814" i="6" s="1"/>
  <c r="AO823" i="6" a="1"/>
  <c r="AO823" i="6" s="1"/>
  <c r="AO14" i="6" a="1"/>
  <c r="AO14" i="6" s="1"/>
  <c r="AO32" i="6" a="1"/>
  <c r="AO32" i="6" s="1"/>
  <c r="AO43" i="6" a="1"/>
  <c r="AO43" i="6" s="1"/>
  <c r="AO53" i="6" a="1"/>
  <c r="AO53" i="6" s="1"/>
  <c r="AO63" i="6" a="1"/>
  <c r="AO63" i="6" s="1"/>
  <c r="AO75" i="6" a="1"/>
  <c r="AO75" i="6" s="1"/>
  <c r="AO86" i="6" a="1"/>
  <c r="AO86" i="6" s="1"/>
  <c r="AO97" i="6" a="1"/>
  <c r="AO97" i="6" s="1"/>
  <c r="AO108" i="6" a="1"/>
  <c r="AO108" i="6" s="1"/>
  <c r="AO119" i="6" a="1"/>
  <c r="AO119" i="6" s="1"/>
  <c r="AO129" i="6" a="1"/>
  <c r="AO129" i="6" s="1"/>
  <c r="AO140" i="6" a="1"/>
  <c r="AO140" i="6" s="1"/>
  <c r="AO152" i="6" a="1"/>
  <c r="AO152" i="6" s="1"/>
  <c r="AO162" i="6" a="1"/>
  <c r="AO162" i="6" s="1"/>
  <c r="AO173" i="6" a="1"/>
  <c r="AO173" i="6" s="1"/>
  <c r="AO184" i="6" a="1"/>
  <c r="AO184" i="6" s="1"/>
  <c r="AO196" i="6" a="1"/>
  <c r="AO196" i="6" s="1"/>
  <c r="AO218" i="6" a="1"/>
  <c r="AO218" i="6" s="1"/>
  <c r="AO229" i="6" a="1"/>
  <c r="AO229" i="6" s="1"/>
  <c r="AO239" i="6" a="1"/>
  <c r="AO239" i="6" s="1"/>
  <c r="AO251" i="6" a="1"/>
  <c r="AO251" i="6" s="1"/>
  <c r="AO263" i="6" a="1"/>
  <c r="AO263" i="6" s="1"/>
  <c r="AO274" i="6" a="1"/>
  <c r="AO274" i="6" s="1"/>
  <c r="AO285" i="6" a="1"/>
  <c r="AO285" i="6" s="1"/>
  <c r="AO307" i="6" a="1"/>
  <c r="AO307" i="6" s="1"/>
  <c r="AO318" i="6" a="1"/>
  <c r="AO318" i="6" s="1"/>
  <c r="AO330" i="6" a="1"/>
  <c r="AO330" i="6" s="1"/>
  <c r="AO342" i="6" a="1"/>
  <c r="AO342" i="6" s="1"/>
  <c r="AO352" i="6" a="1"/>
  <c r="AO352" i="6" s="1"/>
  <c r="AO363" i="6" a="1"/>
  <c r="AO363" i="6" s="1"/>
  <c r="AO374" i="6" a="1"/>
  <c r="AO374" i="6" s="1"/>
  <c r="AO384" i="6" a="1"/>
  <c r="AO384" i="6" s="1"/>
  <c r="AO395" i="6" a="1"/>
  <c r="AO395" i="6" s="1"/>
  <c r="AO407" i="6" a="1"/>
  <c r="AO407" i="6" s="1"/>
  <c r="AO417" i="6" a="1"/>
  <c r="AO417" i="6" s="1"/>
  <c r="AO428" i="6" a="1"/>
  <c r="AO428" i="6" s="1"/>
  <c r="AO439" i="6" a="1"/>
  <c r="AO439" i="6" s="1"/>
  <c r="AO450" i="6" a="1"/>
  <c r="AO450" i="6" s="1"/>
  <c r="AO462" i="6" a="1"/>
  <c r="AO462" i="6" s="1"/>
  <c r="AO473" i="6" a="1"/>
  <c r="AO473" i="6" s="1"/>
  <c r="AO484" i="6" a="1"/>
  <c r="AO484" i="6" s="1"/>
  <c r="AO496" i="6" a="1"/>
  <c r="AO496" i="6" s="1"/>
  <c r="AO507" i="6" a="1"/>
  <c r="AO507" i="6" s="1"/>
  <c r="AO518" i="6" a="1"/>
  <c r="AO518" i="6" s="1"/>
  <c r="AO528" i="6" a="1"/>
  <c r="AO528" i="6" s="1"/>
  <c r="AO1011" i="6" a="1"/>
  <c r="AO1011" i="6" s="1"/>
  <c r="AO990" i="6" a="1"/>
  <c r="AO990" i="6" s="1"/>
  <c r="AO974" i="6" a="1"/>
  <c r="AO974" i="6" s="1"/>
  <c r="AO966" i="6" a="1"/>
  <c r="AO966" i="6" s="1"/>
  <c r="AO957" i="6" a="1"/>
  <c r="AO957" i="6" s="1"/>
  <c r="AO940" i="6" a="1"/>
  <c r="AO940" i="6" s="1"/>
  <c r="AO932" i="6" a="1"/>
  <c r="AO932" i="6" s="1"/>
  <c r="AO924" i="6" a="1"/>
  <c r="AO924" i="6" s="1"/>
  <c r="AO914" i="6" a="1"/>
  <c r="AO914" i="6" s="1"/>
  <c r="AO906" i="6" a="1"/>
  <c r="AO906" i="6" s="1"/>
  <c r="AO897" i="6" a="1"/>
  <c r="AO897" i="6" s="1"/>
  <c r="AO888" i="6" a="1"/>
  <c r="AO888" i="6" s="1"/>
  <c r="AO879" i="6" a="1"/>
  <c r="AO879" i="6" s="1"/>
  <c r="AO870" i="6" a="1"/>
  <c r="AO870" i="6" s="1"/>
  <c r="AO862" i="6" a="1"/>
  <c r="AO862" i="6" s="1"/>
  <c r="AO853" i="6" a="1"/>
  <c r="AO853" i="6" s="1"/>
  <c r="AO843" i="6" a="1"/>
  <c r="AO843" i="6" s="1"/>
  <c r="AO835" i="6" a="1"/>
  <c r="AO835" i="6" s="1"/>
  <c r="AO826" i="6" a="1"/>
  <c r="AO826" i="6" s="1"/>
  <c r="AO812" i="6" a="1"/>
  <c r="AO812" i="6" s="1"/>
  <c r="AO798" i="6" a="1"/>
  <c r="AO798" i="6" s="1"/>
  <c r="AO766" i="6" a="1"/>
  <c r="AO766" i="6" s="1"/>
  <c r="AO749" i="6" a="1"/>
  <c r="AO749" i="6" s="1"/>
  <c r="AO718" i="6" a="1"/>
  <c r="AO718" i="6" s="1"/>
  <c r="AO700" i="6" a="1"/>
  <c r="AO700" i="6" s="1"/>
  <c r="AO685" i="6" a="1"/>
  <c r="AO685" i="6" s="1"/>
  <c r="AO669" i="6" a="1"/>
  <c r="AO669" i="6" s="1"/>
  <c r="AO652" i="6" a="1"/>
  <c r="AO652" i="6" s="1"/>
  <c r="AO637" i="6" a="1"/>
  <c r="AO637" i="6" s="1"/>
  <c r="AO621" i="6" a="1"/>
  <c r="AO621" i="6" s="1"/>
  <c r="AO571" i="6" a="1"/>
  <c r="AO571" i="6" s="1"/>
  <c r="AO553" i="6" a="1"/>
  <c r="AO553" i="6" s="1"/>
  <c r="AO530" i="6" a="1"/>
  <c r="AO530" i="6" s="1"/>
  <c r="AO499" i="6" a="1"/>
  <c r="AO499" i="6" s="1"/>
  <c r="AO430" i="6" a="1"/>
  <c r="AO430" i="6" s="1"/>
  <c r="AO398" i="6" a="1"/>
  <c r="AO398" i="6" s="1"/>
  <c r="AO366" i="6" a="1"/>
  <c r="AO366" i="6" s="1"/>
  <c r="AO333" i="6" a="1"/>
  <c r="AO333" i="6" s="1"/>
  <c r="AO299" i="6" a="1"/>
  <c r="AO299" i="6" s="1"/>
  <c r="AO266" i="6" a="1"/>
  <c r="AO266" i="6" s="1"/>
  <c r="AO231" i="6" a="1"/>
  <c r="AO231" i="6" s="1"/>
  <c r="AO199" i="6" a="1"/>
  <c r="AO199" i="6" s="1"/>
  <c r="AO132" i="6" a="1"/>
  <c r="AO132" i="6" s="1"/>
  <c r="AO100" i="6" a="1"/>
  <c r="AO100" i="6" s="1"/>
  <c r="AO66" i="6" a="1"/>
  <c r="AO66" i="6" s="1"/>
  <c r="AO34" i="6" a="1"/>
  <c r="AO34" i="6" s="1"/>
  <c r="AO9" i="6" a="1"/>
  <c r="AO9" i="6" s="1"/>
  <c r="AO220" i="6" a="1"/>
  <c r="AO220" i="6" s="1"/>
  <c r="AO937" i="6" a="1"/>
  <c r="AO937" i="6" s="1"/>
  <c r="AO830" i="6" a="1"/>
  <c r="AO830" i="6" s="1"/>
  <c r="AO661" i="6" a="1"/>
  <c r="AO661" i="6" s="1"/>
  <c r="AO865" i="6" a="1"/>
  <c r="AO865" i="6" s="1"/>
  <c r="AO740" i="6" a="1"/>
  <c r="AO740" i="6" s="1"/>
  <c r="AO376" i="6" a="1"/>
  <c r="AO376" i="6" s="1"/>
  <c r="AO991" i="6" a="1"/>
  <c r="AO991" i="6" s="1"/>
  <c r="AO1018" i="6" a="1"/>
  <c r="AO1018" i="6" s="1"/>
  <c r="AO1010" i="6" a="1"/>
  <c r="AO1010" i="6" s="1"/>
  <c r="AO1003" i="6" a="1"/>
  <c r="AO1003" i="6" s="1"/>
  <c r="AO996" i="6" a="1"/>
  <c r="AO996" i="6" s="1"/>
  <c r="AO983" i="6" a="1"/>
  <c r="AO983" i="6" s="1"/>
  <c r="AO973" i="6" a="1"/>
  <c r="AO973" i="6" s="1"/>
  <c r="AO965" i="6" a="1"/>
  <c r="AO965" i="6" s="1"/>
  <c r="AO956" i="6" a="1"/>
  <c r="AO956" i="6" s="1"/>
  <c r="AO949" i="6" a="1"/>
  <c r="AO949" i="6" s="1"/>
  <c r="AO931" i="6" a="1"/>
  <c r="AO931" i="6" s="1"/>
  <c r="AO905" i="6" a="1"/>
  <c r="AO905" i="6" s="1"/>
  <c r="AO869" i="6" a="1"/>
  <c r="AO869" i="6" s="1"/>
  <c r="AO861" i="6" a="1"/>
  <c r="AO861" i="6" s="1"/>
  <c r="AO842" i="6" a="1"/>
  <c r="AO842" i="6" s="1"/>
  <c r="AO834" i="6" a="1"/>
  <c r="AO834" i="6" s="1"/>
  <c r="AO825" i="6" a="1"/>
  <c r="AO825" i="6" s="1"/>
  <c r="AO810" i="6" a="1"/>
  <c r="AO810" i="6" s="1"/>
  <c r="AO797" i="6" a="1"/>
  <c r="AO797" i="6" s="1"/>
  <c r="AO782" i="6" a="1"/>
  <c r="AO782" i="6" s="1"/>
  <c r="AO748" i="6" a="1"/>
  <c r="AO748" i="6" s="1"/>
  <c r="AO733" i="6" a="1"/>
  <c r="AO733" i="6" s="1"/>
  <c r="AO717" i="6" a="1"/>
  <c r="AO717" i="6" s="1"/>
  <c r="AO668" i="6" a="1"/>
  <c r="AO668" i="6" s="1"/>
  <c r="AO620" i="6" a="1"/>
  <c r="AO620" i="6" s="1"/>
  <c r="AO603" i="6" a="1"/>
  <c r="AO603" i="6" s="1"/>
  <c r="AO588" i="6" a="1"/>
  <c r="AO588" i="6" s="1"/>
  <c r="AO570" i="6" a="1"/>
  <c r="AO570" i="6" s="1"/>
  <c r="AO529" i="6" a="1"/>
  <c r="AO529" i="6" s="1"/>
  <c r="AO498" i="6" a="1"/>
  <c r="AO498" i="6" s="1"/>
  <c r="AO464" i="6" a="1"/>
  <c r="AO464" i="6" s="1"/>
  <c r="AO429" i="6" a="1"/>
  <c r="AO429" i="6" s="1"/>
  <c r="AO397" i="6" a="1"/>
  <c r="AO397" i="6" s="1"/>
  <c r="AO365" i="6" a="1"/>
  <c r="AO365" i="6" s="1"/>
  <c r="AO332" i="6" a="1"/>
  <c r="AO332" i="6" s="1"/>
  <c r="AO298" i="6" a="1"/>
  <c r="AO298" i="6" s="1"/>
  <c r="AO265" i="6" a="1"/>
  <c r="AO265" i="6" s="1"/>
  <c r="AO198" i="6" a="1"/>
  <c r="AO198" i="6" s="1"/>
  <c r="AO164" i="6" a="1"/>
  <c r="AO164" i="6" s="1"/>
  <c r="AO131" i="6" a="1"/>
  <c r="AO131" i="6" s="1"/>
  <c r="AO99" i="6" a="1"/>
  <c r="AO99" i="6" s="1"/>
  <c r="AO65" i="6" a="1"/>
  <c r="AO65" i="6" s="1"/>
  <c r="AO33" i="6" a="1"/>
  <c r="AO33" i="6" s="1"/>
  <c r="AO253" i="6" a="1"/>
  <c r="AO253" i="6" s="1"/>
  <c r="AO121" i="6" a="1"/>
  <c r="AO121" i="6" s="1"/>
  <c r="AO962" i="6" a="1"/>
  <c r="AO962" i="6" s="1"/>
  <c r="AO901" i="6" a="1"/>
  <c r="AO901" i="6" s="1"/>
  <c r="AO857" i="6" a="1"/>
  <c r="AO857" i="6" s="1"/>
  <c r="AO485" i="6" a="1"/>
  <c r="AO485" i="6" s="1"/>
  <c r="AO992" i="6" a="1"/>
  <c r="AO992" i="6" s="1"/>
  <c r="AO918" i="6" a="1"/>
  <c r="AO918" i="6" s="1"/>
  <c r="AO873" i="6" a="1"/>
  <c r="AO873" i="6" s="1"/>
  <c r="AO838" i="6" a="1"/>
  <c r="AO838" i="6" s="1"/>
  <c r="AO660" i="6" a="1"/>
  <c r="AO660" i="6" s="1"/>
  <c r="AO410" i="6" a="1"/>
  <c r="AO410" i="6" s="1"/>
  <c r="AO277" i="6" a="1"/>
  <c r="AO277" i="6" s="1"/>
  <c r="AO242" i="6" a="1"/>
  <c r="AO242" i="6" s="1"/>
  <c r="AO45" i="6" a="1"/>
  <c r="AO45" i="6" s="1"/>
  <c r="AO1025" i="6" a="1"/>
  <c r="AO1025" i="6" s="1"/>
  <c r="AO1017" i="6" a="1"/>
  <c r="AO1017" i="6" s="1"/>
  <c r="AO989" i="6" a="1"/>
  <c r="AO989" i="6" s="1"/>
  <c r="AO982" i="6" a="1"/>
  <c r="AO982" i="6" s="1"/>
  <c r="AO964" i="6" a="1"/>
  <c r="AO964" i="6" s="1"/>
  <c r="AO948" i="6" a="1"/>
  <c r="AO948" i="6" s="1"/>
  <c r="AO939" i="6" a="1"/>
  <c r="AO939" i="6" s="1"/>
  <c r="AO930" i="6" a="1"/>
  <c r="AO930" i="6" s="1"/>
  <c r="AO923" i="6" a="1"/>
  <c r="AO923" i="6" s="1"/>
  <c r="AO913" i="6" a="1"/>
  <c r="AO913" i="6" s="1"/>
  <c r="AO904" i="6" a="1"/>
  <c r="AO904" i="6" s="1"/>
  <c r="AO896" i="6" a="1"/>
  <c r="AO896" i="6" s="1"/>
  <c r="AO887" i="6" a="1"/>
  <c r="AO887" i="6" s="1"/>
  <c r="AO878" i="6" a="1"/>
  <c r="AO878" i="6" s="1"/>
  <c r="AO868" i="6" a="1"/>
  <c r="AO868" i="6" s="1"/>
  <c r="AO860" i="6" a="1"/>
  <c r="AO860" i="6" s="1"/>
  <c r="AO852" i="6" a="1"/>
  <c r="AO852" i="6" s="1"/>
  <c r="AO833" i="6" a="1"/>
  <c r="AO833" i="6" s="1"/>
  <c r="AO809" i="6" a="1"/>
  <c r="AO809" i="6" s="1"/>
  <c r="AO796" i="6" a="1"/>
  <c r="AO796" i="6" s="1"/>
  <c r="AO765" i="6" a="1"/>
  <c r="AO765" i="6" s="1"/>
  <c r="AO716" i="6" a="1"/>
  <c r="AO716" i="6" s="1"/>
  <c r="AO699" i="6" a="1"/>
  <c r="AO699" i="6" s="1"/>
  <c r="AO684" i="6" a="1"/>
  <c r="AO684" i="6" s="1"/>
  <c r="AO651" i="6" a="1"/>
  <c r="AO651" i="6" s="1"/>
  <c r="AO636" i="6" a="1"/>
  <c r="AO636" i="6" s="1"/>
  <c r="AO619" i="6" a="1"/>
  <c r="AO619" i="6" s="1"/>
  <c r="AO547" i="6" a="1"/>
  <c r="AO547" i="6" s="1"/>
  <c r="AO497" i="6" a="1"/>
  <c r="AO497" i="6" s="1"/>
  <c r="AO463" i="6" a="1"/>
  <c r="AO463" i="6" s="1"/>
  <c r="AO396" i="6" a="1"/>
  <c r="AO396" i="6" s="1"/>
  <c r="AO364" i="6" a="1"/>
  <c r="AO364" i="6" s="1"/>
  <c r="AO331" i="6" a="1"/>
  <c r="AO331" i="6" s="1"/>
  <c r="AO297" i="6" a="1"/>
  <c r="AO297" i="6" s="1"/>
  <c r="AO264" i="6" a="1"/>
  <c r="AO264" i="6" s="1"/>
  <c r="AO230" i="6" a="1"/>
  <c r="AO230" i="6" s="1"/>
  <c r="AO197" i="6" a="1"/>
  <c r="AO197" i="6" s="1"/>
  <c r="AO163" i="6" a="1"/>
  <c r="AO163" i="6" s="1"/>
  <c r="AO130" i="6" a="1"/>
  <c r="AO130" i="6" s="1"/>
  <c r="AO98" i="6" a="1"/>
  <c r="AO98" i="6" s="1"/>
  <c r="AO64" i="6" a="1"/>
  <c r="AO64" i="6" s="1"/>
  <c r="AO8" i="6" a="1"/>
  <c r="AO8" i="6" s="1"/>
  <c r="AO510" i="6" a="1"/>
  <c r="AO510" i="6" s="1"/>
  <c r="AO78" i="6" a="1"/>
  <c r="AO78" i="6" s="1"/>
  <c r="AO998" i="6" a="1"/>
  <c r="AO998" i="6" s="1"/>
  <c r="AO1024" i="6" a="1"/>
  <c r="AO1024" i="6" s="1"/>
  <c r="AO1016" i="6" a="1"/>
  <c r="AO1016" i="6" s="1"/>
  <c r="AO1009" i="6" a="1"/>
  <c r="AO1009" i="6" s="1"/>
  <c r="AO1002" i="6" a="1"/>
  <c r="AO1002" i="6" s="1"/>
  <c r="AO995" i="6" a="1"/>
  <c r="AO995" i="6" s="1"/>
  <c r="AO972" i="6" a="1"/>
  <c r="AO972" i="6" s="1"/>
  <c r="AO955" i="6" a="1"/>
  <c r="AO955" i="6" s="1"/>
  <c r="AO947" i="6" a="1"/>
  <c r="AO947" i="6" s="1"/>
  <c r="AO922" i="6" a="1"/>
  <c r="AO922" i="6" s="1"/>
  <c r="AO895" i="6" a="1"/>
  <c r="AO895" i="6" s="1"/>
  <c r="AO886" i="6" a="1"/>
  <c r="AO886" i="6" s="1"/>
  <c r="AO859" i="6" a="1"/>
  <c r="AO859" i="6" s="1"/>
  <c r="AO841" i="6" a="1"/>
  <c r="AO841" i="6" s="1"/>
  <c r="AO832" i="6" a="1"/>
  <c r="AO832" i="6" s="1"/>
  <c r="AO824" i="6" a="1"/>
  <c r="AO824" i="6" s="1"/>
  <c r="AO808" i="6" a="1"/>
  <c r="AO808" i="6" s="1"/>
  <c r="AO781" i="6" a="1"/>
  <c r="AO781" i="6" s="1"/>
  <c r="AO764" i="6" a="1"/>
  <c r="AO764" i="6" s="1"/>
  <c r="AO747" i="6" a="1"/>
  <c r="AO747" i="6" s="1"/>
  <c r="AO732" i="6" a="1"/>
  <c r="AO732" i="6" s="1"/>
  <c r="AO715" i="6" a="1"/>
  <c r="AO715" i="6" s="1"/>
  <c r="AO667" i="6" a="1"/>
  <c r="AO667" i="6" s="1"/>
  <c r="AO618" i="6" a="1"/>
  <c r="AO618" i="6" s="1"/>
  <c r="AO602" i="6" a="1"/>
  <c r="AO602" i="6" s="1"/>
  <c r="AO587" i="6" a="1"/>
  <c r="AO587" i="6" s="1"/>
  <c r="AO569" i="6" a="1"/>
  <c r="AO569" i="6" s="1"/>
  <c r="AO546" i="6" a="1"/>
  <c r="AO546" i="6" s="1"/>
  <c r="AO495" i="6" a="1"/>
  <c r="AO495" i="6" s="1"/>
  <c r="AO461" i="6" a="1"/>
  <c r="AO461" i="6" s="1"/>
  <c r="AO427" i="6" a="1"/>
  <c r="AO427" i="6" s="1"/>
  <c r="AO394" i="6" a="1"/>
  <c r="AO394" i="6" s="1"/>
  <c r="AO362" i="6" a="1"/>
  <c r="AO362" i="6" s="1"/>
  <c r="AO329" i="6" a="1"/>
  <c r="AO329" i="6" s="1"/>
  <c r="AO296" i="6" a="1"/>
  <c r="AO296" i="6" s="1"/>
  <c r="AO262" i="6" a="1"/>
  <c r="AO262" i="6" s="1"/>
  <c r="AO228" i="6" a="1"/>
  <c r="AO228" i="6" s="1"/>
  <c r="AO195" i="6" a="1"/>
  <c r="AO195" i="6" s="1"/>
  <c r="AO161" i="6" a="1"/>
  <c r="AO161" i="6" s="1"/>
  <c r="AO96" i="6" a="1"/>
  <c r="AO96" i="6" s="1"/>
  <c r="AO31" i="6" a="1"/>
  <c r="AO31" i="6" s="1"/>
  <c r="AO7" i="6" a="1"/>
  <c r="AO7" i="6" s="1"/>
  <c r="AO320" i="6" a="1"/>
  <c r="AO320" i="6" s="1"/>
  <c r="AO55" i="6" a="1"/>
  <c r="AO55" i="6" s="1"/>
  <c r="AO953" i="6" a="1"/>
  <c r="AO953" i="6" s="1"/>
  <c r="AO911" i="6" a="1"/>
  <c r="AO911" i="6" s="1"/>
  <c r="AO849" i="6" a="1"/>
  <c r="AO849" i="6" s="1"/>
  <c r="AO451" i="6" a="1"/>
  <c r="AO451" i="6" s="1"/>
  <c r="AO977" i="6" a="1"/>
  <c r="AO977" i="6" s="1"/>
  <c r="AO926" i="6" a="1"/>
  <c r="AO926" i="6" s="1"/>
  <c r="AO855" i="6" a="1"/>
  <c r="AO855" i="6" s="1"/>
  <c r="AO789" i="6" a="1"/>
  <c r="AO789" i="6" s="1"/>
  <c r="AO675" i="6" a="1"/>
  <c r="AO675" i="6" s="1"/>
  <c r="AO562" i="6" a="1"/>
  <c r="AO562" i="6" s="1"/>
  <c r="AO309" i="6" a="1"/>
  <c r="AO309" i="6" s="1"/>
  <c r="AO143" i="6" a="1"/>
  <c r="AO143" i="6" s="1"/>
  <c r="AO1006" i="6" a="1"/>
  <c r="AO1006" i="6" s="1"/>
  <c r="AO1023" i="6" a="1"/>
  <c r="AO1023" i="6" s="1"/>
  <c r="AO988" i="6" a="1"/>
  <c r="AO988" i="6" s="1"/>
  <c r="AO981" i="6" a="1"/>
  <c r="AO981" i="6" s="1"/>
  <c r="AO963" i="6" a="1"/>
  <c r="AO963" i="6" s="1"/>
  <c r="AO946" i="6" a="1"/>
  <c r="AO946" i="6" s="1"/>
  <c r="AO938" i="6" a="1"/>
  <c r="AO938" i="6" s="1"/>
  <c r="AO929" i="6" a="1"/>
  <c r="AO929" i="6" s="1"/>
  <c r="AO912" i="6" a="1"/>
  <c r="AO912" i="6" s="1"/>
  <c r="AO903" i="6" a="1"/>
  <c r="AO903" i="6" s="1"/>
  <c r="AO894" i="6" a="1"/>
  <c r="AO894" i="6" s="1"/>
  <c r="AO885" i="6" a="1"/>
  <c r="AO885" i="6" s="1"/>
  <c r="AO877" i="6" a="1"/>
  <c r="AO877" i="6" s="1"/>
  <c r="AO867" i="6" a="1"/>
  <c r="AO867" i="6" s="1"/>
  <c r="AO858" i="6" a="1"/>
  <c r="AO858" i="6" s="1"/>
  <c r="AO851" i="6" a="1"/>
  <c r="AO851" i="6" s="1"/>
  <c r="AO821" i="6" a="1"/>
  <c r="AO821" i="6" s="1"/>
  <c r="AO793" i="6" a="1"/>
  <c r="AO793" i="6" s="1"/>
  <c r="AO763" i="6" a="1"/>
  <c r="AO763" i="6" s="1"/>
  <c r="AO714" i="6" a="1"/>
  <c r="AO714" i="6" s="1"/>
  <c r="AO698" i="6" a="1"/>
  <c r="AO698" i="6" s="1"/>
  <c r="AO683" i="6" a="1"/>
  <c r="AO683" i="6" s="1"/>
  <c r="AO666" i="6" a="1"/>
  <c r="AO666" i="6" s="1"/>
  <c r="AO650" i="6" a="1"/>
  <c r="AO650" i="6" s="1"/>
  <c r="AO635" i="6" a="1"/>
  <c r="AO635" i="6" s="1"/>
  <c r="AO617" i="6" a="1"/>
  <c r="AO617" i="6" s="1"/>
  <c r="AO586" i="6" a="1"/>
  <c r="AO586" i="6" s="1"/>
  <c r="AO545" i="6" a="1"/>
  <c r="AO545" i="6" s="1"/>
  <c r="AO521" i="6" a="1"/>
  <c r="AO521" i="6" s="1"/>
  <c r="AO487" i="6" a="1"/>
  <c r="AO487" i="6" s="1"/>
  <c r="AO453" i="6" a="1"/>
  <c r="AO453" i="6" s="1"/>
  <c r="AO420" i="6" a="1"/>
  <c r="AO420" i="6" s="1"/>
  <c r="AO387" i="6" a="1"/>
  <c r="AO387" i="6" s="1"/>
  <c r="AO355" i="6" a="1"/>
  <c r="AO355" i="6" s="1"/>
  <c r="AO321" i="6" a="1"/>
  <c r="AO321" i="6" s="1"/>
  <c r="AO288" i="6" a="1"/>
  <c r="AO288" i="6" s="1"/>
  <c r="AO254" i="6" a="1"/>
  <c r="AO254" i="6" s="1"/>
  <c r="AO221" i="6" a="1"/>
  <c r="AO221" i="6" s="1"/>
  <c r="AO187" i="6" a="1"/>
  <c r="AO187" i="6" s="1"/>
  <c r="AO154" i="6" a="1"/>
  <c r="AO154" i="6" s="1"/>
  <c r="AO122" i="6" a="1"/>
  <c r="AO122" i="6" s="1"/>
  <c r="AO88" i="6" a="1"/>
  <c r="AO88" i="6" s="1"/>
  <c r="AO56" i="6" a="1"/>
  <c r="AO56" i="6" s="1"/>
  <c r="AO23" i="6" a="1"/>
  <c r="AO23" i="6" s="1"/>
  <c r="AI2" i="6"/>
  <c r="AN3" i="6"/>
  <c r="AN15" i="6"/>
  <c r="AP15" i="6" s="1"/>
  <c r="AN27" i="6"/>
  <c r="AN39" i="6"/>
  <c r="AN51" i="6"/>
  <c r="AN63" i="6"/>
  <c r="AN75" i="6"/>
  <c r="AN87" i="6"/>
  <c r="AN99" i="6"/>
  <c r="AN111" i="6"/>
  <c r="AN123" i="6"/>
  <c r="AN135" i="6"/>
  <c r="AN147" i="6"/>
  <c r="AN159" i="6"/>
  <c r="AN171" i="6"/>
  <c r="AN183" i="6"/>
  <c r="AN195" i="6"/>
  <c r="AN207" i="6"/>
  <c r="AN219" i="6"/>
  <c r="AN231" i="6"/>
  <c r="AN243" i="6"/>
  <c r="AN255" i="6"/>
  <c r="AN267" i="6"/>
  <c r="AN279" i="6"/>
  <c r="AN291" i="6"/>
  <c r="AN303" i="6"/>
  <c r="AN315" i="6"/>
  <c r="AN327" i="6"/>
  <c r="AN339" i="6"/>
  <c r="AN351" i="6"/>
  <c r="AN363" i="6"/>
  <c r="AN375" i="6"/>
  <c r="AN387" i="6"/>
  <c r="AN399" i="6"/>
  <c r="AN411" i="6"/>
  <c r="AN423" i="6"/>
  <c r="AN435" i="6"/>
  <c r="AN447" i="6"/>
  <c r="AN459" i="6"/>
  <c r="AN471" i="6"/>
  <c r="AN483" i="6"/>
  <c r="AP483" i="6" s="1"/>
  <c r="AN495" i="6"/>
  <c r="AN507" i="6"/>
  <c r="AN519" i="6"/>
  <c r="AN531" i="6"/>
  <c r="AN543" i="6"/>
  <c r="AN555" i="6"/>
  <c r="AN567" i="6"/>
  <c r="AN579" i="6"/>
  <c r="AN591" i="6"/>
  <c r="AP591" i="6" s="1"/>
  <c r="AN603" i="6"/>
  <c r="AN615" i="6"/>
  <c r="AN627" i="6"/>
  <c r="AN639" i="6"/>
  <c r="AN651" i="6"/>
  <c r="AN663" i="6"/>
  <c r="AN675" i="6"/>
  <c r="AN687" i="6"/>
  <c r="AN699" i="6"/>
  <c r="AN711" i="6"/>
  <c r="AN723" i="6"/>
  <c r="AN735" i="6"/>
  <c r="AN747" i="6"/>
  <c r="AN759" i="6"/>
  <c r="AN771" i="6"/>
  <c r="AN783" i="6"/>
  <c r="AN795" i="6"/>
  <c r="AN807" i="6"/>
  <c r="AN819" i="6"/>
  <c r="AN831" i="6"/>
  <c r="AN843" i="6"/>
  <c r="AN855" i="6"/>
  <c r="AN867" i="6"/>
  <c r="AN879" i="6"/>
  <c r="AN891" i="6"/>
  <c r="AP891" i="6" s="1"/>
  <c r="AN903" i="6"/>
  <c r="AN915" i="6"/>
  <c r="AN927" i="6"/>
  <c r="AN939" i="6"/>
  <c r="AN951" i="6"/>
  <c r="AN963" i="6"/>
  <c r="AN975" i="6"/>
  <c r="AN987" i="6"/>
  <c r="AP987" i="6" s="1"/>
  <c r="AN999" i="6"/>
  <c r="AN1011" i="6"/>
  <c r="AN4" i="6"/>
  <c r="AN16" i="6"/>
  <c r="AN28" i="6"/>
  <c r="AN40" i="6"/>
  <c r="AN52" i="6"/>
  <c r="AN64" i="6"/>
  <c r="AN76" i="6"/>
  <c r="AN88" i="6"/>
  <c r="AN100" i="6"/>
  <c r="AN112" i="6"/>
  <c r="AN124" i="6"/>
  <c r="AN136" i="6"/>
  <c r="AN148" i="6"/>
  <c r="AN160" i="6"/>
  <c r="AN172" i="6"/>
  <c r="AN184" i="6"/>
  <c r="AN196" i="6"/>
  <c r="AN208" i="6"/>
  <c r="AN220" i="6"/>
  <c r="AN232" i="6"/>
  <c r="AN244" i="6"/>
  <c r="AN256" i="6"/>
  <c r="AN268" i="6"/>
  <c r="AN280" i="6"/>
  <c r="AN292" i="6"/>
  <c r="AN304" i="6"/>
  <c r="AN316" i="6"/>
  <c r="AN328" i="6"/>
  <c r="AN340" i="6"/>
  <c r="AN352" i="6"/>
  <c r="AN364" i="6"/>
  <c r="AN376" i="6"/>
  <c r="AN388" i="6"/>
  <c r="AN400" i="6"/>
  <c r="AN412" i="6"/>
  <c r="AN424" i="6"/>
  <c r="AN436" i="6"/>
  <c r="AN460" i="6"/>
  <c r="AN472" i="6"/>
  <c r="AN484" i="6"/>
  <c r="AN496" i="6"/>
  <c r="AN508" i="6"/>
  <c r="AN520" i="6"/>
  <c r="AP520" i="6" s="1"/>
  <c r="AN532" i="6"/>
  <c r="AN544" i="6"/>
  <c r="AN6" i="6"/>
  <c r="AN18" i="6"/>
  <c r="AN30" i="6"/>
  <c r="AN42" i="6"/>
  <c r="AP42" i="6" s="1"/>
  <c r="AN54" i="6"/>
  <c r="AN66" i="6"/>
  <c r="AP66" i="6" s="1"/>
  <c r="AN78" i="6"/>
  <c r="AN90" i="6"/>
  <c r="AN102" i="6"/>
  <c r="AN114" i="6"/>
  <c r="AP114" i="6" s="1"/>
  <c r="AN126" i="6"/>
  <c r="AN138" i="6"/>
  <c r="AN150" i="6"/>
  <c r="AN162" i="6"/>
  <c r="AP162" i="6" s="1"/>
  <c r="AN174" i="6"/>
  <c r="AN186" i="6"/>
  <c r="AN198" i="6"/>
  <c r="AN210" i="6"/>
  <c r="AN222" i="6"/>
  <c r="AN234" i="6"/>
  <c r="AP234" i="6" s="1"/>
  <c r="AN246" i="6"/>
  <c r="AN258" i="6"/>
  <c r="AN270" i="6"/>
  <c r="AN282" i="6"/>
  <c r="AN294" i="6"/>
  <c r="AN306" i="6"/>
  <c r="AN318" i="6"/>
  <c r="AN330" i="6"/>
  <c r="AN342" i="6"/>
  <c r="AN354" i="6"/>
  <c r="AN366" i="6"/>
  <c r="AN378" i="6"/>
  <c r="AN390" i="6"/>
  <c r="AP390" i="6" s="1"/>
  <c r="AN402" i="6"/>
  <c r="AN414" i="6"/>
  <c r="AP414" i="6" s="1"/>
  <c r="AN426" i="6"/>
  <c r="AN438" i="6"/>
  <c r="AN450" i="6"/>
  <c r="AP450" i="6" s="1"/>
  <c r="AN462" i="6"/>
  <c r="AN474" i="6"/>
  <c r="AN486" i="6"/>
  <c r="AP486" i="6" s="1"/>
  <c r="AN498" i="6"/>
  <c r="AN510" i="6"/>
  <c r="AN522" i="6"/>
  <c r="AN534" i="6"/>
  <c r="AN546" i="6"/>
  <c r="AN558" i="6"/>
  <c r="AN570" i="6"/>
  <c r="AN582" i="6"/>
  <c r="AN594" i="6"/>
  <c r="AN606" i="6"/>
  <c r="AN618" i="6"/>
  <c r="AN630" i="6"/>
  <c r="AN642" i="6"/>
  <c r="AN654" i="6"/>
  <c r="AN666" i="6"/>
  <c r="AN678" i="6"/>
  <c r="AN690" i="6"/>
  <c r="AN702" i="6"/>
  <c r="AN714" i="6"/>
  <c r="AN726" i="6"/>
  <c r="AN738" i="6"/>
  <c r="AN750" i="6"/>
  <c r="AN762" i="6"/>
  <c r="AN774" i="6"/>
  <c r="AN786" i="6"/>
  <c r="AP786" i="6" s="1"/>
  <c r="AN798" i="6"/>
  <c r="AN810" i="6"/>
  <c r="AN822" i="6"/>
  <c r="AN834" i="6"/>
  <c r="AN846" i="6"/>
  <c r="AN858" i="6"/>
  <c r="AN870" i="6"/>
  <c r="AN882" i="6"/>
  <c r="AN894" i="6"/>
  <c r="AN906" i="6"/>
  <c r="AN918" i="6"/>
  <c r="AN930" i="6"/>
  <c r="AN942" i="6"/>
  <c r="AN954" i="6"/>
  <c r="AN966" i="6"/>
  <c r="AN978" i="6"/>
  <c r="AN990" i="6"/>
  <c r="AN1002" i="6"/>
  <c r="AN1014" i="6"/>
  <c r="AN7" i="6"/>
  <c r="AN19" i="6"/>
  <c r="AN31" i="6"/>
  <c r="AN43" i="6"/>
  <c r="AN55" i="6"/>
  <c r="AN67" i="6"/>
  <c r="AN79" i="6"/>
  <c r="AN91" i="6"/>
  <c r="AN103" i="6"/>
  <c r="AN115" i="6"/>
  <c r="AN127" i="6"/>
  <c r="AP127" i="6" s="1"/>
  <c r="AN139" i="6"/>
  <c r="AN151" i="6"/>
  <c r="AN163" i="6"/>
  <c r="AN175" i="6"/>
  <c r="AP175" i="6" s="1"/>
  <c r="AN187" i="6"/>
  <c r="AN199" i="6"/>
  <c r="AN211" i="6"/>
  <c r="AN223" i="6"/>
  <c r="AN235" i="6"/>
  <c r="AN247" i="6"/>
  <c r="AN259" i="6"/>
  <c r="AN271" i="6"/>
  <c r="AN283" i="6"/>
  <c r="AN295" i="6"/>
  <c r="AN307" i="6"/>
  <c r="AN319" i="6"/>
  <c r="AN331" i="6"/>
  <c r="AN343" i="6"/>
  <c r="AN355" i="6"/>
  <c r="AN367" i="6"/>
  <c r="AN379" i="6"/>
  <c r="AN391" i="6"/>
  <c r="AN403" i="6"/>
  <c r="AN415" i="6"/>
  <c r="AP415" i="6" s="1"/>
  <c r="AN427" i="6"/>
  <c r="AN439" i="6"/>
  <c r="AN451" i="6"/>
  <c r="AN463" i="6"/>
  <c r="AN475" i="6"/>
  <c r="AN487" i="6"/>
  <c r="AN499" i="6"/>
  <c r="AP499" i="6" s="1"/>
  <c r="AN511" i="6"/>
  <c r="AN523" i="6"/>
  <c r="AN535" i="6"/>
  <c r="AN547" i="6"/>
  <c r="AN559" i="6"/>
  <c r="AP559" i="6" s="1"/>
  <c r="AN571" i="6"/>
  <c r="AN583" i="6"/>
  <c r="AP583" i="6" s="1"/>
  <c r="AN595" i="6"/>
  <c r="AN607" i="6"/>
  <c r="AN619" i="6"/>
  <c r="AN631" i="6"/>
  <c r="AN643" i="6"/>
  <c r="AN655" i="6"/>
  <c r="AN667" i="6"/>
  <c r="AN679" i="6"/>
  <c r="AN691" i="6"/>
  <c r="AN703" i="6"/>
  <c r="AN715" i="6"/>
  <c r="AN727" i="6"/>
  <c r="AN739" i="6"/>
  <c r="AN751" i="6"/>
  <c r="AN763" i="6"/>
  <c r="AN775" i="6"/>
  <c r="AN787" i="6"/>
  <c r="AN799" i="6"/>
  <c r="AN811" i="6"/>
  <c r="AN823" i="6"/>
  <c r="AN835" i="6"/>
  <c r="AN847" i="6"/>
  <c r="AN859" i="6"/>
  <c r="AN871" i="6"/>
  <c r="AN883" i="6"/>
  <c r="AN895" i="6"/>
  <c r="AN907" i="6"/>
  <c r="AN919" i="6"/>
  <c r="AP919" i="6" s="1"/>
  <c r="AN931" i="6"/>
  <c r="AN943" i="6"/>
  <c r="AN955" i="6"/>
  <c r="AN967" i="6"/>
  <c r="AN979" i="6"/>
  <c r="AN991" i="6"/>
  <c r="AN1003" i="6"/>
  <c r="AN1015" i="6"/>
  <c r="AN8" i="6"/>
  <c r="AN20" i="6"/>
  <c r="AP20" i="6" s="1"/>
  <c r="AN32" i="6"/>
  <c r="AN44" i="6"/>
  <c r="AN56" i="6"/>
  <c r="AN68" i="6"/>
  <c r="AN80" i="6"/>
  <c r="AN92" i="6"/>
  <c r="AN104" i="6"/>
  <c r="AN116" i="6"/>
  <c r="AN128" i="6"/>
  <c r="AN140" i="6"/>
  <c r="AN152" i="6"/>
  <c r="AN164" i="6"/>
  <c r="AN176" i="6"/>
  <c r="AN188" i="6"/>
  <c r="AN200" i="6"/>
  <c r="AN212" i="6"/>
  <c r="AN224" i="6"/>
  <c r="AN236" i="6"/>
  <c r="AN248" i="6"/>
  <c r="AN260" i="6"/>
  <c r="AN272" i="6"/>
  <c r="AN284" i="6"/>
  <c r="AN296" i="6"/>
  <c r="AN308" i="6"/>
  <c r="AN320" i="6"/>
  <c r="AN332" i="6"/>
  <c r="AN344" i="6"/>
  <c r="AN356" i="6"/>
  <c r="AN368" i="6"/>
  <c r="AN380" i="6"/>
  <c r="AN392" i="6"/>
  <c r="AN404" i="6"/>
  <c r="AN416" i="6"/>
  <c r="AN428" i="6"/>
  <c r="AN440" i="6"/>
  <c r="AN452" i="6"/>
  <c r="AN464" i="6"/>
  <c r="AN476" i="6"/>
  <c r="AN9" i="6"/>
  <c r="AN21" i="6"/>
  <c r="AN33" i="6"/>
  <c r="AN45" i="6"/>
  <c r="AN57" i="6"/>
  <c r="AN69" i="6"/>
  <c r="AN81" i="6"/>
  <c r="AN93" i="6"/>
  <c r="AN105" i="6"/>
  <c r="AN117" i="6"/>
  <c r="AN129" i="6"/>
  <c r="AN141" i="6"/>
  <c r="AP141" i="6" s="1"/>
  <c r="AN153" i="6"/>
  <c r="AN165" i="6"/>
  <c r="AN177" i="6"/>
  <c r="AN189" i="6"/>
  <c r="AN201" i="6"/>
  <c r="AN213" i="6"/>
  <c r="AN225" i="6"/>
  <c r="AN237" i="6"/>
  <c r="AN249" i="6"/>
  <c r="AN261" i="6"/>
  <c r="AN273" i="6"/>
  <c r="AN285" i="6"/>
  <c r="AN297" i="6"/>
  <c r="AN309" i="6"/>
  <c r="AN321" i="6"/>
  <c r="AN333" i="6"/>
  <c r="AN345" i="6"/>
  <c r="AN357" i="6"/>
  <c r="AN369" i="6"/>
  <c r="AN381" i="6"/>
  <c r="AN393" i="6"/>
  <c r="AN405" i="6"/>
  <c r="AN417" i="6"/>
  <c r="AN429" i="6"/>
  <c r="AN441" i="6"/>
  <c r="AP441" i="6" s="1"/>
  <c r="AN453" i="6"/>
  <c r="AN465" i="6"/>
  <c r="AN477" i="6"/>
  <c r="AN489" i="6"/>
  <c r="AN501" i="6"/>
  <c r="AN513" i="6"/>
  <c r="AN525" i="6"/>
  <c r="AN537" i="6"/>
  <c r="AN549" i="6"/>
  <c r="AN561" i="6"/>
  <c r="AN573" i="6"/>
  <c r="AN585" i="6"/>
  <c r="AN597" i="6"/>
  <c r="AN609" i="6"/>
  <c r="AN621" i="6"/>
  <c r="AN633" i="6"/>
  <c r="AN645" i="6"/>
  <c r="AP645" i="6" s="1"/>
  <c r="AN657" i="6"/>
  <c r="AN669" i="6"/>
  <c r="AN681" i="6"/>
  <c r="AN693" i="6"/>
  <c r="AN705" i="6"/>
  <c r="AN717" i="6"/>
  <c r="AN729" i="6"/>
  <c r="AN741" i="6"/>
  <c r="AN753" i="6"/>
  <c r="AP753" i="6" s="1"/>
  <c r="AN765" i="6"/>
  <c r="AN777" i="6"/>
  <c r="AN789" i="6"/>
  <c r="AN801" i="6"/>
  <c r="AN813" i="6"/>
  <c r="AN825" i="6"/>
  <c r="AN837" i="6"/>
  <c r="AP837" i="6" s="1"/>
  <c r="AN849" i="6"/>
  <c r="AN861" i="6"/>
  <c r="AN873" i="6"/>
  <c r="AN885" i="6"/>
  <c r="AN897" i="6"/>
  <c r="AN909" i="6"/>
  <c r="AN921" i="6"/>
  <c r="AN933" i="6"/>
  <c r="AN945" i="6"/>
  <c r="AN957" i="6"/>
  <c r="AP957" i="6" s="1"/>
  <c r="AN969" i="6"/>
  <c r="AN981" i="6"/>
  <c r="AN993" i="6"/>
  <c r="AN1005" i="6"/>
  <c r="AN1017" i="6"/>
  <c r="AN10" i="6"/>
  <c r="AN22" i="6"/>
  <c r="AN34" i="6"/>
  <c r="AN46" i="6"/>
  <c r="AN58" i="6"/>
  <c r="AN70" i="6"/>
  <c r="AP70" i="6" s="1"/>
  <c r="AN82" i="6"/>
  <c r="AN94" i="6"/>
  <c r="AN106" i="6"/>
  <c r="AN118" i="6"/>
  <c r="AN130" i="6"/>
  <c r="AN142" i="6"/>
  <c r="AN154" i="6"/>
  <c r="AN166" i="6"/>
  <c r="AN178" i="6"/>
  <c r="AN190" i="6"/>
  <c r="AN202" i="6"/>
  <c r="AN214" i="6"/>
  <c r="AN226" i="6"/>
  <c r="AN238" i="6"/>
  <c r="AN250" i="6"/>
  <c r="AN262" i="6"/>
  <c r="AN274" i="6"/>
  <c r="AN286" i="6"/>
  <c r="AN298" i="6"/>
  <c r="AN310" i="6"/>
  <c r="AP310" i="6" s="1"/>
  <c r="AN322" i="6"/>
  <c r="AP322" i="6" s="1"/>
  <c r="AN334" i="6"/>
  <c r="AP334" i="6" s="1"/>
  <c r="AN346" i="6"/>
  <c r="AP346" i="6" s="1"/>
  <c r="AN358" i="6"/>
  <c r="AP358" i="6" s="1"/>
  <c r="AN370" i="6"/>
  <c r="AN382" i="6"/>
  <c r="AN394" i="6"/>
  <c r="AN406" i="6"/>
  <c r="AN418" i="6"/>
  <c r="AN430" i="6"/>
  <c r="AN442" i="6"/>
  <c r="AP442" i="6" s="1"/>
  <c r="AN454" i="6"/>
  <c r="AP454" i="6" s="1"/>
  <c r="AN466" i="6"/>
  <c r="AN478" i="6"/>
  <c r="AP478" i="6" s="1"/>
  <c r="AN490" i="6"/>
  <c r="AN502" i="6"/>
  <c r="AN514" i="6"/>
  <c r="AN526" i="6"/>
  <c r="AN538" i="6"/>
  <c r="AN550" i="6"/>
  <c r="AN562" i="6"/>
  <c r="AN574" i="6"/>
  <c r="AN586" i="6"/>
  <c r="AN598" i="6"/>
  <c r="AN610" i="6"/>
  <c r="AN622" i="6"/>
  <c r="AN634" i="6"/>
  <c r="AN646" i="6"/>
  <c r="AN658" i="6"/>
  <c r="AN670" i="6"/>
  <c r="AN682" i="6"/>
  <c r="AN694" i="6"/>
  <c r="AN706" i="6"/>
  <c r="AN718" i="6"/>
  <c r="AN730" i="6"/>
  <c r="AN742" i="6"/>
  <c r="AN754" i="6"/>
  <c r="AN766" i="6"/>
  <c r="AN778" i="6"/>
  <c r="AN790" i="6"/>
  <c r="AN802" i="6"/>
  <c r="AN814" i="6"/>
  <c r="AN826" i="6"/>
  <c r="AN838" i="6"/>
  <c r="AN850" i="6"/>
  <c r="AN862" i="6"/>
  <c r="AN874" i="6"/>
  <c r="AN886" i="6"/>
  <c r="AN898" i="6"/>
  <c r="AN910" i="6"/>
  <c r="AP910" i="6" s="1"/>
  <c r="AN922" i="6"/>
  <c r="AN934" i="6"/>
  <c r="AN946" i="6"/>
  <c r="AN958" i="6"/>
  <c r="AP958" i="6" s="1"/>
  <c r="AN970" i="6"/>
  <c r="AN982" i="6"/>
  <c r="AN1006" i="6"/>
  <c r="AN1018" i="6"/>
  <c r="AN467" i="6"/>
  <c r="AN11" i="6"/>
  <c r="AN23" i="6"/>
  <c r="AN35" i="6"/>
  <c r="AP35" i="6" s="1"/>
  <c r="AN47" i="6"/>
  <c r="AN59" i="6"/>
  <c r="AN71" i="6"/>
  <c r="AN83" i="6"/>
  <c r="AN95" i="6"/>
  <c r="AN107" i="6"/>
  <c r="AN119" i="6"/>
  <c r="AN131" i="6"/>
  <c r="AN143" i="6"/>
  <c r="AN155" i="6"/>
  <c r="AN167" i="6"/>
  <c r="AN179" i="6"/>
  <c r="AP179" i="6" s="1"/>
  <c r="AN191" i="6"/>
  <c r="AP191" i="6" s="1"/>
  <c r="AN203" i="6"/>
  <c r="AN215" i="6"/>
  <c r="AN227" i="6"/>
  <c r="AN239" i="6"/>
  <c r="AN251" i="6"/>
  <c r="AN263" i="6"/>
  <c r="AN275" i="6"/>
  <c r="AN287" i="6"/>
  <c r="AN299" i="6"/>
  <c r="AN311" i="6"/>
  <c r="AN323" i="6"/>
  <c r="AN335" i="6"/>
  <c r="AN347" i="6"/>
  <c r="AN359" i="6"/>
  <c r="AN371" i="6"/>
  <c r="AN383" i="6"/>
  <c r="AN395" i="6"/>
  <c r="AN407" i="6"/>
  <c r="AN419" i="6"/>
  <c r="AN431" i="6"/>
  <c r="AN443" i="6"/>
  <c r="AN455" i="6"/>
  <c r="AN479" i="6"/>
  <c r="AN491" i="6"/>
  <c r="AN503" i="6"/>
  <c r="AN527" i="6"/>
  <c r="AN539" i="6"/>
  <c r="AN551" i="6"/>
  <c r="AN12" i="6"/>
  <c r="AN24" i="6"/>
  <c r="AN36" i="6"/>
  <c r="AN48" i="6"/>
  <c r="AN60" i="6"/>
  <c r="AN72" i="6"/>
  <c r="AN84" i="6"/>
  <c r="AN96" i="6"/>
  <c r="AN108" i="6"/>
  <c r="AN120" i="6"/>
  <c r="AP120" i="6" s="1"/>
  <c r="AN132" i="6"/>
  <c r="AN144" i="6"/>
  <c r="AP144" i="6" s="1"/>
  <c r="AN156" i="6"/>
  <c r="AN168" i="6"/>
  <c r="AN180" i="6"/>
  <c r="AN192" i="6"/>
  <c r="AN204" i="6"/>
  <c r="AN216" i="6"/>
  <c r="AN228" i="6"/>
  <c r="AN240" i="6"/>
  <c r="AN252" i="6"/>
  <c r="AN264" i="6"/>
  <c r="AN276" i="6"/>
  <c r="AN288" i="6"/>
  <c r="AN300" i="6"/>
  <c r="AN312" i="6"/>
  <c r="AN324" i="6"/>
  <c r="AN336" i="6"/>
  <c r="AN348" i="6"/>
  <c r="AN360" i="6"/>
  <c r="AN372" i="6"/>
  <c r="AN384" i="6"/>
  <c r="AN396" i="6"/>
  <c r="AN408" i="6"/>
  <c r="AN420" i="6"/>
  <c r="AN432" i="6"/>
  <c r="AN444" i="6"/>
  <c r="AN456" i="6"/>
  <c r="AN468" i="6"/>
  <c r="AN480" i="6"/>
  <c r="AN492" i="6"/>
  <c r="AN504" i="6"/>
  <c r="AN516" i="6"/>
  <c r="AN528" i="6"/>
  <c r="AN540" i="6"/>
  <c r="AN552" i="6"/>
  <c r="AN564" i="6"/>
  <c r="AP564" i="6" s="1"/>
  <c r="AN576" i="6"/>
  <c r="AN588" i="6"/>
  <c r="AN600" i="6"/>
  <c r="AN612" i="6"/>
  <c r="AN624" i="6"/>
  <c r="AN636" i="6"/>
  <c r="AN648" i="6"/>
  <c r="AN660" i="6"/>
  <c r="AN672" i="6"/>
  <c r="AN684" i="6"/>
  <c r="AP684" i="6" s="1"/>
  <c r="AN696" i="6"/>
  <c r="AN708" i="6"/>
  <c r="AP708" i="6" s="1"/>
  <c r="AN720" i="6"/>
  <c r="AN732" i="6"/>
  <c r="AN744" i="6"/>
  <c r="AN756" i="6"/>
  <c r="AN768" i="6"/>
  <c r="AN780" i="6"/>
  <c r="AP780" i="6" s="1"/>
  <c r="AN792" i="6"/>
  <c r="AP792" i="6" s="1"/>
  <c r="AN804" i="6"/>
  <c r="AN816" i="6"/>
  <c r="AN828" i="6"/>
  <c r="AN840" i="6"/>
  <c r="AP840" i="6" s="1"/>
  <c r="AN852" i="6"/>
  <c r="AN864" i="6"/>
  <c r="AN876" i="6"/>
  <c r="AN888" i="6"/>
  <c r="AN900" i="6"/>
  <c r="AN912" i="6"/>
  <c r="AN924" i="6"/>
  <c r="AN936" i="6"/>
  <c r="AN948" i="6"/>
  <c r="AN960" i="6"/>
  <c r="AN972" i="6"/>
  <c r="AN984" i="6"/>
  <c r="AN996" i="6"/>
  <c r="AN1008" i="6"/>
  <c r="AN1020" i="6"/>
  <c r="AN14" i="6"/>
  <c r="AN26" i="6"/>
  <c r="AN38" i="6"/>
  <c r="AN50" i="6"/>
  <c r="AN62" i="6"/>
  <c r="AN74" i="6"/>
  <c r="AN86" i="6"/>
  <c r="AN98" i="6"/>
  <c r="AN110" i="6"/>
  <c r="AN122" i="6"/>
  <c r="AN134" i="6"/>
  <c r="AP134" i="6" s="1"/>
  <c r="AN146" i="6"/>
  <c r="AN158" i="6"/>
  <c r="AN170" i="6"/>
  <c r="AN182" i="6"/>
  <c r="AN194" i="6"/>
  <c r="AN206" i="6"/>
  <c r="AN218" i="6"/>
  <c r="AN230" i="6"/>
  <c r="AN242" i="6"/>
  <c r="AN254" i="6"/>
  <c r="AN266" i="6"/>
  <c r="AN278" i="6"/>
  <c r="AN290" i="6"/>
  <c r="AN302" i="6"/>
  <c r="AN314" i="6"/>
  <c r="AN326" i="6"/>
  <c r="AN338" i="6"/>
  <c r="AN350" i="6"/>
  <c r="AN362" i="6"/>
  <c r="AN374" i="6"/>
  <c r="AN386" i="6"/>
  <c r="AN398" i="6"/>
  <c r="AN410" i="6"/>
  <c r="AN422" i="6"/>
  <c r="AN434" i="6"/>
  <c r="AN446" i="6"/>
  <c r="AN458" i="6"/>
  <c r="AN470" i="6"/>
  <c r="AN482" i="6"/>
  <c r="AN494" i="6"/>
  <c r="AN506" i="6"/>
  <c r="AN518" i="6"/>
  <c r="AN530" i="6"/>
  <c r="AN542" i="6"/>
  <c r="AN554" i="6"/>
  <c r="AP554" i="6" s="1"/>
  <c r="AN566" i="6"/>
  <c r="AN578" i="6"/>
  <c r="AN590" i="6"/>
  <c r="AN602" i="6"/>
  <c r="AN614" i="6"/>
  <c r="AN626" i="6"/>
  <c r="AN638" i="6"/>
  <c r="AN650" i="6"/>
  <c r="AN662" i="6"/>
  <c r="AN674" i="6"/>
  <c r="AN686" i="6"/>
  <c r="AN698" i="6"/>
  <c r="AN710" i="6"/>
  <c r="AN722" i="6"/>
  <c r="AN734" i="6"/>
  <c r="AN746" i="6"/>
  <c r="AN758" i="6"/>
  <c r="AN770" i="6"/>
  <c r="AN782" i="6"/>
  <c r="AN794" i="6"/>
  <c r="AP794" i="6" s="1"/>
  <c r="AN806" i="6"/>
  <c r="AN818" i="6"/>
  <c r="AN830" i="6"/>
  <c r="AN842" i="6"/>
  <c r="AN854" i="6"/>
  <c r="AN866" i="6"/>
  <c r="AP866" i="6" s="1"/>
  <c r="AN878" i="6"/>
  <c r="AN890" i="6"/>
  <c r="AN902" i="6"/>
  <c r="AP902" i="6" s="1"/>
  <c r="AN914" i="6"/>
  <c r="AN926" i="6"/>
  <c r="AN938" i="6"/>
  <c r="AN950" i="6"/>
  <c r="AN962" i="6"/>
  <c r="AP962" i="6" s="1"/>
  <c r="AN974" i="6"/>
  <c r="AN986" i="6"/>
  <c r="AP986" i="6" s="1"/>
  <c r="AN998" i="6"/>
  <c r="AN1010" i="6"/>
  <c r="AN1022" i="6"/>
  <c r="AN892" i="6"/>
  <c r="AN776" i="6"/>
  <c r="AN661" i="6"/>
  <c r="AN541" i="6"/>
  <c r="AN437" i="6"/>
  <c r="AN293" i="6"/>
  <c r="AN5" i="6"/>
  <c r="AN1001" i="6"/>
  <c r="AN947" i="6"/>
  <c r="AN889" i="6"/>
  <c r="AN832" i="6"/>
  <c r="AN773" i="6"/>
  <c r="AP773" i="6" s="1"/>
  <c r="AN745" i="6"/>
  <c r="AN688" i="6"/>
  <c r="AN629" i="6"/>
  <c r="AN601" i="6"/>
  <c r="AN536" i="6"/>
  <c r="AN433" i="6"/>
  <c r="AN289" i="6"/>
  <c r="AN217" i="6"/>
  <c r="AN145" i="6"/>
  <c r="AN1025" i="6"/>
  <c r="AN973" i="6"/>
  <c r="AN944" i="6"/>
  <c r="AN887" i="6"/>
  <c r="AN829" i="6"/>
  <c r="AN800" i="6"/>
  <c r="AN743" i="6"/>
  <c r="AN713" i="6"/>
  <c r="AN685" i="6"/>
  <c r="AN656" i="6"/>
  <c r="AP656" i="6" s="1"/>
  <c r="AN599" i="6"/>
  <c r="AN569" i="6"/>
  <c r="AN533" i="6"/>
  <c r="AN488" i="6"/>
  <c r="AN425" i="6"/>
  <c r="AN353" i="6"/>
  <c r="AN281" i="6"/>
  <c r="AN209" i="6"/>
  <c r="AP209" i="6" s="1"/>
  <c r="AN137" i="6"/>
  <c r="AN65" i="6"/>
  <c r="AN1024" i="6"/>
  <c r="AN997" i="6"/>
  <c r="AN971" i="6"/>
  <c r="AP971" i="6" s="1"/>
  <c r="AN941" i="6"/>
  <c r="AN913" i="6"/>
  <c r="AN884" i="6"/>
  <c r="AN856" i="6"/>
  <c r="AN827" i="6"/>
  <c r="AN797" i="6"/>
  <c r="AN769" i="6"/>
  <c r="AN740" i="6"/>
  <c r="AN712" i="6"/>
  <c r="AN683" i="6"/>
  <c r="AN653" i="6"/>
  <c r="AN625" i="6"/>
  <c r="AN596" i="6"/>
  <c r="AN568" i="6"/>
  <c r="AN529" i="6"/>
  <c r="AN485" i="6"/>
  <c r="AN421" i="6"/>
  <c r="AN349" i="6"/>
  <c r="AN277" i="6"/>
  <c r="AN205" i="6"/>
  <c r="AN133" i="6"/>
  <c r="AN61" i="6"/>
  <c r="AN868" i="6"/>
  <c r="AN548" i="6"/>
  <c r="AN865" i="6"/>
  <c r="AN500" i="6"/>
  <c r="AN949" i="6"/>
  <c r="AN805" i="6"/>
  <c r="AN632" i="6"/>
  <c r="AP632" i="6" s="1"/>
  <c r="AN77" i="6"/>
  <c r="AN976" i="6"/>
  <c r="AN917" i="6"/>
  <c r="AN860" i="6"/>
  <c r="AN803" i="6"/>
  <c r="AP803" i="6" s="1"/>
  <c r="AN716" i="6"/>
  <c r="AN659" i="6"/>
  <c r="AN572" i="6"/>
  <c r="AN493" i="6"/>
  <c r="AN361" i="6"/>
  <c r="AN73" i="6"/>
  <c r="AN1000" i="6"/>
  <c r="AN916" i="6"/>
  <c r="AN857" i="6"/>
  <c r="AN772" i="6"/>
  <c r="AN628" i="6"/>
  <c r="AN1023" i="6"/>
  <c r="AN995" i="6"/>
  <c r="AN968" i="6"/>
  <c r="AN940" i="6"/>
  <c r="AN911" i="6"/>
  <c r="AN881" i="6"/>
  <c r="AP881" i="6" s="1"/>
  <c r="AN853" i="6"/>
  <c r="AN824" i="6"/>
  <c r="AN796" i="6"/>
  <c r="AN767" i="6"/>
  <c r="AN737" i="6"/>
  <c r="AN709" i="6"/>
  <c r="AN680" i="6"/>
  <c r="AN652" i="6"/>
  <c r="AN623" i="6"/>
  <c r="AN593" i="6"/>
  <c r="AN565" i="6"/>
  <c r="AN524" i="6"/>
  <c r="AN481" i="6"/>
  <c r="AN413" i="6"/>
  <c r="AN341" i="6"/>
  <c r="AN269" i="6"/>
  <c r="AN197" i="6"/>
  <c r="AN125" i="6"/>
  <c r="AN53" i="6"/>
  <c r="AN925" i="6"/>
  <c r="AN665" i="6"/>
  <c r="AN1007" i="6"/>
  <c r="AN779" i="6"/>
  <c r="AP779" i="6" s="1"/>
  <c r="AN545" i="6"/>
  <c r="AN920" i="6"/>
  <c r="AN983" i="6"/>
  <c r="AN752" i="6"/>
  <c r="AN580" i="6"/>
  <c r="AN893" i="6"/>
  <c r="AN229" i="6"/>
  <c r="AN839" i="6"/>
  <c r="AP839" i="6" s="1"/>
  <c r="AN448" i="6"/>
  <c r="AN808" i="6"/>
  <c r="AN605" i="6"/>
  <c r="AN301" i="6"/>
  <c r="AN863" i="6"/>
  <c r="AN719" i="6"/>
  <c r="AN221" i="6"/>
  <c r="AN1021" i="6"/>
  <c r="AN937" i="6"/>
  <c r="AN880" i="6"/>
  <c r="AN821" i="6"/>
  <c r="AN764" i="6"/>
  <c r="AN677" i="6"/>
  <c r="AN620" i="6"/>
  <c r="AN563" i="6"/>
  <c r="AP563" i="6" s="1"/>
  <c r="AN409" i="6"/>
  <c r="AN121" i="6"/>
  <c r="AN1019" i="6"/>
  <c r="AN964" i="6"/>
  <c r="AN877" i="6"/>
  <c r="AN820" i="6"/>
  <c r="AN761" i="6"/>
  <c r="AN704" i="6"/>
  <c r="AN647" i="6"/>
  <c r="AN589" i="6"/>
  <c r="AN517" i="6"/>
  <c r="AP517" i="6" s="1"/>
  <c r="AN401" i="6"/>
  <c r="AN329" i="6"/>
  <c r="AN257" i="6"/>
  <c r="AN185" i="6"/>
  <c r="AN113" i="6"/>
  <c r="AN41" i="6"/>
  <c r="AN1016" i="6"/>
  <c r="AN989" i="6"/>
  <c r="AN961" i="6"/>
  <c r="AN932" i="6"/>
  <c r="AN904" i="6"/>
  <c r="AN875" i="6"/>
  <c r="AN845" i="6"/>
  <c r="AN817" i="6"/>
  <c r="AN788" i="6"/>
  <c r="AP788" i="6" s="1"/>
  <c r="AN760" i="6"/>
  <c r="AP760" i="6" s="1"/>
  <c r="AN731" i="6"/>
  <c r="AN701" i="6"/>
  <c r="AN673" i="6"/>
  <c r="AN644" i="6"/>
  <c r="AN616" i="6"/>
  <c r="AN587" i="6"/>
  <c r="AN557" i="6"/>
  <c r="AN515" i="6"/>
  <c r="AN461" i="6"/>
  <c r="AN397" i="6"/>
  <c r="AN325" i="6"/>
  <c r="AN253" i="6"/>
  <c r="AN181" i="6"/>
  <c r="AN109" i="6"/>
  <c r="AN37" i="6"/>
  <c r="AN896" i="6"/>
  <c r="AN637" i="6"/>
  <c r="AN980" i="6"/>
  <c r="AP980" i="6" s="1"/>
  <c r="AN692" i="6"/>
  <c r="AN1004" i="6"/>
  <c r="AP1004" i="6" s="1"/>
  <c r="AN809" i="6"/>
  <c r="AN305" i="6"/>
  <c r="AN923" i="6"/>
  <c r="AN749" i="6"/>
  <c r="AN635" i="6"/>
  <c r="AN445" i="6"/>
  <c r="AN977" i="6"/>
  <c r="AN833" i="6"/>
  <c r="AN748" i="6"/>
  <c r="AN689" i="6"/>
  <c r="AP689" i="6" s="1"/>
  <c r="AN575" i="6"/>
  <c r="AN497" i="6"/>
  <c r="AN365" i="6"/>
  <c r="AN149" i="6"/>
  <c r="AN994" i="6"/>
  <c r="AN965" i="6"/>
  <c r="AN908" i="6"/>
  <c r="AN851" i="6"/>
  <c r="AN793" i="6"/>
  <c r="AN736" i="6"/>
  <c r="AP736" i="6" s="1"/>
  <c r="AN707" i="6"/>
  <c r="AN649" i="6"/>
  <c r="AN592" i="6"/>
  <c r="AN521" i="6"/>
  <c r="AN473" i="6"/>
  <c r="AN337" i="6"/>
  <c r="AN265" i="6"/>
  <c r="AN193" i="6"/>
  <c r="AP193" i="6" s="1"/>
  <c r="AN49" i="6"/>
  <c r="AN992" i="6"/>
  <c r="AN935" i="6"/>
  <c r="AN905" i="6"/>
  <c r="AN848" i="6"/>
  <c r="AP848" i="6" s="1"/>
  <c r="AN791" i="6"/>
  <c r="AN733" i="6"/>
  <c r="AN676" i="6"/>
  <c r="AN617" i="6"/>
  <c r="AN560" i="6"/>
  <c r="AN469" i="6"/>
  <c r="AN1013" i="6"/>
  <c r="AN988" i="6"/>
  <c r="AN959" i="6"/>
  <c r="AN929" i="6"/>
  <c r="AN901" i="6"/>
  <c r="AN872" i="6"/>
  <c r="AN844" i="6"/>
  <c r="AN815" i="6"/>
  <c r="AN785" i="6"/>
  <c r="AN757" i="6"/>
  <c r="AN728" i="6"/>
  <c r="AN700" i="6"/>
  <c r="AN671" i="6"/>
  <c r="AP671" i="6" s="1"/>
  <c r="AN641" i="6"/>
  <c r="AN613" i="6"/>
  <c r="AN584" i="6"/>
  <c r="AN556" i="6"/>
  <c r="AN512" i="6"/>
  <c r="AN457" i="6"/>
  <c r="AN389" i="6"/>
  <c r="AN317" i="6"/>
  <c r="AN245" i="6"/>
  <c r="AN173" i="6"/>
  <c r="AN101" i="6"/>
  <c r="AN29" i="6"/>
  <c r="AN1012" i="6"/>
  <c r="AN985" i="6"/>
  <c r="AN956" i="6"/>
  <c r="AN928" i="6"/>
  <c r="AN899" i="6"/>
  <c r="AN869" i="6"/>
  <c r="AN841" i="6"/>
  <c r="AN812" i="6"/>
  <c r="AN784" i="6"/>
  <c r="AN755" i="6"/>
  <c r="AN725" i="6"/>
  <c r="AN697" i="6"/>
  <c r="AN668" i="6"/>
  <c r="AN640" i="6"/>
  <c r="AN611" i="6"/>
  <c r="AP611" i="6" s="1"/>
  <c r="AN581" i="6"/>
  <c r="AN553" i="6"/>
  <c r="AN509" i="6"/>
  <c r="AN449" i="6"/>
  <c r="AN385" i="6"/>
  <c r="AN313" i="6"/>
  <c r="AN241" i="6"/>
  <c r="AN169" i="6"/>
  <c r="AN97" i="6"/>
  <c r="AN25" i="6"/>
  <c r="AN1009" i="6"/>
  <c r="AN695" i="6"/>
  <c r="AP695" i="6" s="1"/>
  <c r="AN505" i="6"/>
  <c r="AN233" i="6"/>
  <c r="AN161" i="6"/>
  <c r="AN89" i="6"/>
  <c r="AN17" i="6"/>
  <c r="AN781" i="6"/>
  <c r="AN377" i="6"/>
  <c r="AN836" i="6"/>
  <c r="AP836" i="6" s="1"/>
  <c r="AN664" i="6"/>
  <c r="AN577" i="6"/>
  <c r="AN373" i="6"/>
  <c r="AN157" i="6"/>
  <c r="AN85" i="6"/>
  <c r="AP85" i="6" s="1"/>
  <c r="AN13" i="6"/>
  <c r="AP13" i="6" s="1"/>
  <c r="AN953" i="6"/>
  <c r="AN724" i="6"/>
  <c r="AP724" i="6" s="1"/>
  <c r="AN608" i="6"/>
  <c r="AN952" i="6"/>
  <c r="AN721" i="6"/>
  <c r="AN604" i="6"/>
  <c r="D30" i="5"/>
  <c r="D14" i="5"/>
  <c r="R42" i="3"/>
  <c r="R43" i="3"/>
  <c r="R24" i="3"/>
  <c r="R44" i="3"/>
  <c r="R25" i="3"/>
  <c r="R26" i="3"/>
  <c r="R18" i="3"/>
  <c r="R45" i="3"/>
  <c r="R27" i="3"/>
  <c r="R9" i="3"/>
  <c r="R10" i="3"/>
  <c r="R3" i="3"/>
  <c r="R46" i="3"/>
  <c r="R28" i="3"/>
  <c r="R11" i="3"/>
  <c r="R29" i="3"/>
  <c r="R47" i="3"/>
  <c r="R30" i="3"/>
  <c r="R31" i="3"/>
  <c r="R32" i="3"/>
  <c r="R19" i="3"/>
  <c r="R48" i="3"/>
  <c r="R33" i="3"/>
  <c r="R12" i="3"/>
  <c r="R13" i="3"/>
  <c r="R4" i="3"/>
  <c r="R34" i="3"/>
  <c r="R20" i="3"/>
  <c r="R5" i="3"/>
  <c r="R6" i="3"/>
  <c r="R2" i="3"/>
  <c r="R14" i="3"/>
  <c r="R15" i="3"/>
  <c r="R7" i="3"/>
  <c r="R49" i="3"/>
  <c r="R35" i="3"/>
  <c r="R16" i="3"/>
  <c r="R36" i="3"/>
  <c r="R21" i="3"/>
  <c r="R8" i="3"/>
  <c r="R17" i="3"/>
  <c r="R37" i="3"/>
  <c r="R50" i="3"/>
  <c r="R38" i="3"/>
  <c r="R39" i="3"/>
  <c r="R22" i="3"/>
  <c r="R40" i="3"/>
  <c r="R41" i="3"/>
  <c r="R23" i="3"/>
  <c r="R51" i="3"/>
  <c r="H42" i="3"/>
  <c r="I42" i="3"/>
  <c r="J42" i="3"/>
  <c r="K42" i="3"/>
  <c r="L42" i="3"/>
  <c r="M42" i="3"/>
  <c r="N42" i="3"/>
  <c r="O42" i="3"/>
  <c r="P42" i="3"/>
  <c r="H43" i="3"/>
  <c r="I43" i="3"/>
  <c r="J43" i="3"/>
  <c r="K43" i="3"/>
  <c r="L43" i="3"/>
  <c r="M43" i="3"/>
  <c r="N43" i="3"/>
  <c r="O43" i="3"/>
  <c r="P43" i="3"/>
  <c r="H24" i="3"/>
  <c r="I24" i="3"/>
  <c r="J24" i="3"/>
  <c r="K24" i="3"/>
  <c r="L24" i="3"/>
  <c r="M24" i="3"/>
  <c r="N24" i="3"/>
  <c r="O24" i="3"/>
  <c r="P24" i="3"/>
  <c r="H44" i="3"/>
  <c r="I44" i="3"/>
  <c r="J44" i="3"/>
  <c r="K44" i="3"/>
  <c r="L44" i="3"/>
  <c r="M44" i="3"/>
  <c r="N44" i="3"/>
  <c r="O44" i="3"/>
  <c r="P44" i="3"/>
  <c r="H25" i="3"/>
  <c r="I25" i="3"/>
  <c r="J25" i="3"/>
  <c r="K25" i="3"/>
  <c r="L25" i="3"/>
  <c r="M25" i="3"/>
  <c r="N25" i="3"/>
  <c r="O25" i="3"/>
  <c r="P25" i="3"/>
  <c r="H26" i="3"/>
  <c r="I26" i="3"/>
  <c r="J26" i="3"/>
  <c r="K26" i="3"/>
  <c r="L26" i="3"/>
  <c r="M26" i="3"/>
  <c r="N26" i="3"/>
  <c r="O26" i="3"/>
  <c r="P26" i="3"/>
  <c r="H18" i="3"/>
  <c r="I18" i="3"/>
  <c r="J18" i="3"/>
  <c r="K18" i="3"/>
  <c r="L18" i="3"/>
  <c r="M18" i="3"/>
  <c r="N18" i="3"/>
  <c r="O18" i="3"/>
  <c r="P18" i="3"/>
  <c r="H45" i="3"/>
  <c r="I45" i="3"/>
  <c r="J45" i="3"/>
  <c r="K45" i="3"/>
  <c r="L45" i="3"/>
  <c r="M45" i="3"/>
  <c r="N45" i="3"/>
  <c r="O45" i="3"/>
  <c r="P45" i="3"/>
  <c r="H27" i="3"/>
  <c r="I27" i="3"/>
  <c r="J27" i="3"/>
  <c r="K27" i="3"/>
  <c r="L27" i="3"/>
  <c r="M27" i="3"/>
  <c r="N27" i="3"/>
  <c r="O27" i="3"/>
  <c r="P27" i="3"/>
  <c r="H9" i="3"/>
  <c r="I9" i="3"/>
  <c r="J9" i="3"/>
  <c r="K9" i="3"/>
  <c r="L9" i="3"/>
  <c r="M9" i="3"/>
  <c r="N9" i="3"/>
  <c r="O9" i="3"/>
  <c r="P9" i="3"/>
  <c r="H10" i="3"/>
  <c r="I10" i="3"/>
  <c r="J10" i="3"/>
  <c r="K10" i="3"/>
  <c r="L10" i="3"/>
  <c r="M10" i="3"/>
  <c r="N10" i="3"/>
  <c r="O10" i="3"/>
  <c r="P10" i="3"/>
  <c r="H3" i="3"/>
  <c r="I3" i="3"/>
  <c r="J3" i="3"/>
  <c r="K3" i="3"/>
  <c r="L3" i="3"/>
  <c r="M3" i="3"/>
  <c r="N3" i="3"/>
  <c r="O3" i="3"/>
  <c r="P3" i="3"/>
  <c r="H46" i="3"/>
  <c r="I46" i="3"/>
  <c r="J46" i="3"/>
  <c r="K46" i="3"/>
  <c r="L46" i="3"/>
  <c r="M46" i="3"/>
  <c r="N46" i="3"/>
  <c r="O46" i="3"/>
  <c r="P46" i="3"/>
  <c r="H28" i="3"/>
  <c r="I28" i="3"/>
  <c r="J28" i="3"/>
  <c r="K28" i="3"/>
  <c r="L28" i="3"/>
  <c r="M28" i="3"/>
  <c r="N28" i="3"/>
  <c r="O28" i="3"/>
  <c r="P28" i="3"/>
  <c r="H11" i="3"/>
  <c r="I11" i="3"/>
  <c r="J11" i="3"/>
  <c r="K11" i="3"/>
  <c r="L11" i="3"/>
  <c r="M11" i="3"/>
  <c r="N11" i="3"/>
  <c r="O11" i="3"/>
  <c r="P11" i="3"/>
  <c r="H29" i="3"/>
  <c r="I29" i="3"/>
  <c r="J29" i="3"/>
  <c r="K29" i="3"/>
  <c r="L29" i="3"/>
  <c r="M29" i="3"/>
  <c r="N29" i="3"/>
  <c r="O29" i="3"/>
  <c r="P29" i="3"/>
  <c r="H47" i="3"/>
  <c r="I47" i="3"/>
  <c r="J47" i="3"/>
  <c r="K47" i="3"/>
  <c r="L47" i="3"/>
  <c r="M47" i="3"/>
  <c r="N47" i="3"/>
  <c r="O47" i="3"/>
  <c r="P47" i="3"/>
  <c r="H30" i="3"/>
  <c r="I30" i="3"/>
  <c r="J30" i="3"/>
  <c r="K30" i="3"/>
  <c r="L30" i="3"/>
  <c r="M30" i="3"/>
  <c r="N30" i="3"/>
  <c r="O30" i="3"/>
  <c r="P30" i="3"/>
  <c r="H31" i="3"/>
  <c r="I31" i="3"/>
  <c r="J31" i="3"/>
  <c r="K31" i="3"/>
  <c r="L31" i="3"/>
  <c r="M31" i="3"/>
  <c r="N31" i="3"/>
  <c r="O31" i="3"/>
  <c r="P31" i="3"/>
  <c r="H32" i="3"/>
  <c r="I32" i="3"/>
  <c r="J32" i="3"/>
  <c r="K32" i="3"/>
  <c r="L32" i="3"/>
  <c r="M32" i="3"/>
  <c r="N32" i="3"/>
  <c r="O32" i="3"/>
  <c r="P32" i="3"/>
  <c r="H19" i="3"/>
  <c r="I19" i="3"/>
  <c r="J19" i="3"/>
  <c r="K19" i="3"/>
  <c r="L19" i="3"/>
  <c r="M19" i="3"/>
  <c r="N19" i="3"/>
  <c r="O19" i="3"/>
  <c r="P19" i="3"/>
  <c r="H48" i="3"/>
  <c r="I48" i="3"/>
  <c r="J48" i="3"/>
  <c r="K48" i="3"/>
  <c r="L48" i="3"/>
  <c r="M48" i="3"/>
  <c r="N48" i="3"/>
  <c r="O48" i="3"/>
  <c r="P48" i="3"/>
  <c r="H33" i="3"/>
  <c r="I33" i="3"/>
  <c r="J33" i="3"/>
  <c r="K33" i="3"/>
  <c r="L33" i="3"/>
  <c r="M33" i="3"/>
  <c r="N33" i="3"/>
  <c r="O33" i="3"/>
  <c r="P33" i="3"/>
  <c r="H12" i="3"/>
  <c r="I12" i="3"/>
  <c r="J12" i="3"/>
  <c r="K12" i="3"/>
  <c r="L12" i="3"/>
  <c r="M12" i="3"/>
  <c r="N12" i="3"/>
  <c r="O12" i="3"/>
  <c r="P12" i="3"/>
  <c r="H13" i="3"/>
  <c r="I13" i="3"/>
  <c r="J13" i="3"/>
  <c r="K13" i="3"/>
  <c r="L13" i="3"/>
  <c r="M13" i="3"/>
  <c r="N13" i="3"/>
  <c r="O13" i="3"/>
  <c r="P13" i="3"/>
  <c r="H4" i="3"/>
  <c r="I4" i="3"/>
  <c r="J4" i="3"/>
  <c r="K4" i="3"/>
  <c r="L4" i="3"/>
  <c r="M4" i="3"/>
  <c r="N4" i="3"/>
  <c r="O4" i="3"/>
  <c r="P4" i="3"/>
  <c r="H34" i="3"/>
  <c r="I34" i="3"/>
  <c r="J34" i="3"/>
  <c r="K34" i="3"/>
  <c r="L34" i="3"/>
  <c r="M34" i="3"/>
  <c r="N34" i="3"/>
  <c r="O34" i="3"/>
  <c r="P34" i="3"/>
  <c r="H20" i="3"/>
  <c r="I20" i="3"/>
  <c r="J20" i="3"/>
  <c r="K20" i="3"/>
  <c r="L20" i="3"/>
  <c r="M20" i="3"/>
  <c r="N20" i="3"/>
  <c r="O20" i="3"/>
  <c r="P20" i="3"/>
  <c r="H5" i="3"/>
  <c r="I5" i="3"/>
  <c r="J5" i="3"/>
  <c r="K5" i="3"/>
  <c r="L5" i="3"/>
  <c r="M5" i="3"/>
  <c r="N5" i="3"/>
  <c r="O5" i="3"/>
  <c r="P5" i="3"/>
  <c r="H6" i="3"/>
  <c r="I6" i="3"/>
  <c r="J6" i="3"/>
  <c r="K6" i="3"/>
  <c r="L6" i="3"/>
  <c r="M6" i="3"/>
  <c r="N6" i="3"/>
  <c r="O6" i="3"/>
  <c r="P6" i="3"/>
  <c r="H2" i="3"/>
  <c r="I2" i="3"/>
  <c r="J2" i="3"/>
  <c r="K2" i="3"/>
  <c r="L2" i="3"/>
  <c r="M2" i="3"/>
  <c r="N2" i="3"/>
  <c r="O2" i="3"/>
  <c r="P2" i="3"/>
  <c r="H14" i="3"/>
  <c r="I14" i="3"/>
  <c r="J14" i="3"/>
  <c r="K14" i="3"/>
  <c r="L14" i="3"/>
  <c r="M14" i="3"/>
  <c r="N14" i="3"/>
  <c r="O14" i="3"/>
  <c r="P14" i="3"/>
  <c r="H15" i="3"/>
  <c r="I15" i="3"/>
  <c r="J15" i="3"/>
  <c r="K15" i="3"/>
  <c r="L15" i="3"/>
  <c r="M15" i="3"/>
  <c r="N15" i="3"/>
  <c r="O15" i="3"/>
  <c r="P15" i="3"/>
  <c r="H7" i="3"/>
  <c r="I7" i="3"/>
  <c r="J7" i="3"/>
  <c r="K7" i="3"/>
  <c r="L7" i="3"/>
  <c r="M7" i="3"/>
  <c r="N7" i="3"/>
  <c r="O7" i="3"/>
  <c r="P7" i="3"/>
  <c r="H49" i="3"/>
  <c r="I49" i="3"/>
  <c r="J49" i="3"/>
  <c r="K49" i="3"/>
  <c r="L49" i="3"/>
  <c r="M49" i="3"/>
  <c r="N49" i="3"/>
  <c r="O49" i="3"/>
  <c r="P49" i="3"/>
  <c r="H35" i="3"/>
  <c r="I35" i="3"/>
  <c r="J35" i="3"/>
  <c r="K35" i="3"/>
  <c r="L35" i="3"/>
  <c r="M35" i="3"/>
  <c r="N35" i="3"/>
  <c r="O35" i="3"/>
  <c r="P35" i="3"/>
  <c r="H16" i="3"/>
  <c r="I16" i="3"/>
  <c r="J16" i="3"/>
  <c r="K16" i="3"/>
  <c r="L16" i="3"/>
  <c r="M16" i="3"/>
  <c r="N16" i="3"/>
  <c r="O16" i="3"/>
  <c r="P16" i="3"/>
  <c r="H36" i="3"/>
  <c r="I36" i="3"/>
  <c r="J36" i="3"/>
  <c r="K36" i="3"/>
  <c r="L36" i="3"/>
  <c r="M36" i="3"/>
  <c r="N36" i="3"/>
  <c r="O36" i="3"/>
  <c r="P36" i="3"/>
  <c r="H21" i="3"/>
  <c r="I21" i="3"/>
  <c r="J21" i="3"/>
  <c r="K21" i="3"/>
  <c r="L21" i="3"/>
  <c r="M21" i="3"/>
  <c r="N21" i="3"/>
  <c r="O21" i="3"/>
  <c r="P21" i="3"/>
  <c r="H8" i="3"/>
  <c r="I8" i="3"/>
  <c r="J8" i="3"/>
  <c r="K8" i="3"/>
  <c r="L8" i="3"/>
  <c r="M8" i="3"/>
  <c r="N8" i="3"/>
  <c r="O8" i="3"/>
  <c r="P8" i="3"/>
  <c r="H17" i="3"/>
  <c r="I17" i="3"/>
  <c r="J17" i="3"/>
  <c r="K17" i="3"/>
  <c r="L17" i="3"/>
  <c r="M17" i="3"/>
  <c r="N17" i="3"/>
  <c r="O17" i="3"/>
  <c r="P17" i="3"/>
  <c r="H37" i="3"/>
  <c r="I37" i="3"/>
  <c r="J37" i="3"/>
  <c r="K37" i="3"/>
  <c r="L37" i="3"/>
  <c r="M37" i="3"/>
  <c r="N37" i="3"/>
  <c r="O37" i="3"/>
  <c r="P37" i="3"/>
  <c r="H50" i="3"/>
  <c r="I50" i="3"/>
  <c r="J50" i="3"/>
  <c r="K50" i="3"/>
  <c r="L50" i="3"/>
  <c r="M50" i="3"/>
  <c r="N50" i="3"/>
  <c r="O50" i="3"/>
  <c r="P50" i="3"/>
  <c r="H38" i="3"/>
  <c r="I38" i="3"/>
  <c r="J38" i="3"/>
  <c r="K38" i="3"/>
  <c r="L38" i="3"/>
  <c r="M38" i="3"/>
  <c r="N38" i="3"/>
  <c r="O38" i="3"/>
  <c r="P38" i="3"/>
  <c r="H39" i="3"/>
  <c r="I39" i="3"/>
  <c r="J39" i="3"/>
  <c r="K39" i="3"/>
  <c r="L39" i="3"/>
  <c r="M39" i="3"/>
  <c r="N39" i="3"/>
  <c r="O39" i="3"/>
  <c r="P39" i="3"/>
  <c r="H22" i="3"/>
  <c r="I22" i="3"/>
  <c r="J22" i="3"/>
  <c r="K22" i="3"/>
  <c r="L22" i="3"/>
  <c r="M22" i="3"/>
  <c r="N22" i="3"/>
  <c r="O22" i="3"/>
  <c r="P22" i="3"/>
  <c r="H40" i="3"/>
  <c r="I40" i="3"/>
  <c r="J40" i="3"/>
  <c r="K40" i="3"/>
  <c r="L40" i="3"/>
  <c r="M40" i="3"/>
  <c r="N40" i="3"/>
  <c r="O40" i="3"/>
  <c r="P40" i="3"/>
  <c r="H41" i="3"/>
  <c r="I41" i="3"/>
  <c r="J41" i="3"/>
  <c r="K41" i="3"/>
  <c r="L41" i="3"/>
  <c r="M41" i="3"/>
  <c r="N41" i="3"/>
  <c r="O41" i="3"/>
  <c r="P41" i="3"/>
  <c r="H23" i="3"/>
  <c r="I23" i="3"/>
  <c r="J23" i="3"/>
  <c r="K23" i="3"/>
  <c r="L23" i="3"/>
  <c r="M23" i="3"/>
  <c r="N23" i="3"/>
  <c r="O23" i="3"/>
  <c r="P23" i="3"/>
  <c r="P51" i="3"/>
  <c r="O51" i="3"/>
  <c r="N51" i="3"/>
  <c r="K51" i="3"/>
  <c r="M51" i="3"/>
  <c r="L51" i="3"/>
  <c r="H51" i="3"/>
  <c r="J51" i="3"/>
  <c r="I51" i="3"/>
  <c r="Q513" i="2"/>
  <c r="P513" i="2"/>
  <c r="O513" i="2"/>
  <c r="N513" i="2"/>
  <c r="M513" i="2"/>
  <c r="L513" i="2"/>
  <c r="Q512" i="2"/>
  <c r="P512" i="2"/>
  <c r="O512" i="2"/>
  <c r="N512" i="2"/>
  <c r="M512" i="2"/>
  <c r="L512" i="2"/>
  <c r="Q511" i="2"/>
  <c r="P511" i="2"/>
  <c r="O511" i="2"/>
  <c r="N511" i="2"/>
  <c r="M511" i="2"/>
  <c r="L511" i="2"/>
  <c r="Q510" i="2"/>
  <c r="P510" i="2"/>
  <c r="O510" i="2"/>
  <c r="N510" i="2"/>
  <c r="M510" i="2"/>
  <c r="L510" i="2"/>
  <c r="Q509" i="2"/>
  <c r="P509" i="2"/>
  <c r="O509" i="2"/>
  <c r="N509" i="2"/>
  <c r="M509" i="2"/>
  <c r="L509" i="2"/>
  <c r="Q508" i="2"/>
  <c r="P508" i="2"/>
  <c r="O508" i="2"/>
  <c r="N508" i="2"/>
  <c r="M508" i="2"/>
  <c r="L508" i="2"/>
  <c r="Q507" i="2"/>
  <c r="P507" i="2"/>
  <c r="O507" i="2"/>
  <c r="N507" i="2"/>
  <c r="M507" i="2"/>
  <c r="L507" i="2"/>
  <c r="Q506" i="2"/>
  <c r="P506" i="2"/>
  <c r="O506" i="2"/>
  <c r="N506" i="2"/>
  <c r="M506" i="2"/>
  <c r="L506" i="2"/>
  <c r="Q505" i="2"/>
  <c r="P505" i="2"/>
  <c r="O505" i="2"/>
  <c r="N505" i="2"/>
  <c r="M505" i="2"/>
  <c r="L505" i="2"/>
  <c r="Q504" i="2"/>
  <c r="P504" i="2"/>
  <c r="O504" i="2"/>
  <c r="N504" i="2"/>
  <c r="M504" i="2"/>
  <c r="L504" i="2"/>
  <c r="Q503" i="2"/>
  <c r="P503" i="2"/>
  <c r="O503" i="2"/>
  <c r="N503" i="2"/>
  <c r="M503" i="2"/>
  <c r="L503" i="2"/>
  <c r="Q502" i="2"/>
  <c r="P502" i="2"/>
  <c r="O502" i="2"/>
  <c r="N502" i="2"/>
  <c r="M502" i="2"/>
  <c r="L502" i="2"/>
  <c r="Q501" i="2"/>
  <c r="P501" i="2"/>
  <c r="O501" i="2"/>
  <c r="N501" i="2"/>
  <c r="M501" i="2"/>
  <c r="L501" i="2"/>
  <c r="Q500" i="2"/>
  <c r="P500" i="2"/>
  <c r="O500" i="2"/>
  <c r="N500" i="2"/>
  <c r="M500" i="2"/>
  <c r="L500" i="2"/>
  <c r="Q499" i="2"/>
  <c r="P499" i="2"/>
  <c r="O499" i="2"/>
  <c r="N499" i="2"/>
  <c r="M499" i="2"/>
  <c r="L499" i="2"/>
  <c r="Q498" i="2"/>
  <c r="P498" i="2"/>
  <c r="O498" i="2"/>
  <c r="N498" i="2"/>
  <c r="M498" i="2"/>
  <c r="L498" i="2"/>
  <c r="Q497" i="2"/>
  <c r="P497" i="2"/>
  <c r="O497" i="2"/>
  <c r="N497" i="2"/>
  <c r="M497" i="2"/>
  <c r="L497" i="2"/>
  <c r="Q496" i="2"/>
  <c r="P496" i="2"/>
  <c r="O496" i="2"/>
  <c r="N496" i="2"/>
  <c r="M496" i="2"/>
  <c r="L496" i="2"/>
  <c r="Q495" i="2"/>
  <c r="P495" i="2"/>
  <c r="O495" i="2"/>
  <c r="N495" i="2"/>
  <c r="M495" i="2"/>
  <c r="L495" i="2"/>
  <c r="Q494" i="2"/>
  <c r="P494" i="2"/>
  <c r="O494" i="2"/>
  <c r="N494" i="2"/>
  <c r="M494" i="2"/>
  <c r="L494" i="2"/>
  <c r="Q493" i="2"/>
  <c r="P493" i="2"/>
  <c r="O493" i="2"/>
  <c r="N493" i="2"/>
  <c r="M493" i="2"/>
  <c r="L493" i="2"/>
  <c r="Q492" i="2"/>
  <c r="P492" i="2"/>
  <c r="O492" i="2"/>
  <c r="N492" i="2"/>
  <c r="M492" i="2"/>
  <c r="L492" i="2"/>
  <c r="Q491" i="2"/>
  <c r="P491" i="2"/>
  <c r="O491" i="2"/>
  <c r="N491" i="2"/>
  <c r="M491" i="2"/>
  <c r="L491" i="2"/>
  <c r="Q490" i="2"/>
  <c r="P490" i="2"/>
  <c r="O490" i="2"/>
  <c r="N490" i="2"/>
  <c r="M490" i="2"/>
  <c r="L490" i="2"/>
  <c r="Q489" i="2"/>
  <c r="P489" i="2"/>
  <c r="O489" i="2"/>
  <c r="N489" i="2"/>
  <c r="M489" i="2"/>
  <c r="L489" i="2"/>
  <c r="Q488" i="2"/>
  <c r="P488" i="2"/>
  <c r="O488" i="2"/>
  <c r="N488" i="2"/>
  <c r="M488" i="2"/>
  <c r="L488" i="2"/>
  <c r="Q487" i="2"/>
  <c r="P487" i="2"/>
  <c r="O487" i="2"/>
  <c r="N487" i="2"/>
  <c r="M487" i="2"/>
  <c r="L487" i="2"/>
  <c r="Q486" i="2"/>
  <c r="P486" i="2"/>
  <c r="O486" i="2"/>
  <c r="N486" i="2"/>
  <c r="M486" i="2"/>
  <c r="L486" i="2"/>
  <c r="Q485" i="2"/>
  <c r="P485" i="2"/>
  <c r="O485" i="2"/>
  <c r="N485" i="2"/>
  <c r="M485" i="2"/>
  <c r="L485" i="2"/>
  <c r="Q484" i="2"/>
  <c r="P484" i="2"/>
  <c r="O484" i="2"/>
  <c r="N484" i="2"/>
  <c r="M484" i="2"/>
  <c r="L484" i="2"/>
  <c r="Q483" i="2"/>
  <c r="P483" i="2"/>
  <c r="O483" i="2"/>
  <c r="N483" i="2"/>
  <c r="M483" i="2"/>
  <c r="L483" i="2"/>
  <c r="Q482" i="2"/>
  <c r="P482" i="2"/>
  <c r="O482" i="2"/>
  <c r="N482" i="2"/>
  <c r="M482" i="2"/>
  <c r="L482" i="2"/>
  <c r="Q481" i="2"/>
  <c r="P481" i="2"/>
  <c r="O481" i="2"/>
  <c r="N481" i="2"/>
  <c r="M481" i="2"/>
  <c r="L481" i="2"/>
  <c r="Q480" i="2"/>
  <c r="P480" i="2"/>
  <c r="O480" i="2"/>
  <c r="N480" i="2"/>
  <c r="M480" i="2"/>
  <c r="L480" i="2"/>
  <c r="Q479" i="2"/>
  <c r="P479" i="2"/>
  <c r="O479" i="2"/>
  <c r="N479" i="2"/>
  <c r="M479" i="2"/>
  <c r="L479" i="2"/>
  <c r="Q478" i="2"/>
  <c r="P478" i="2"/>
  <c r="O478" i="2"/>
  <c r="N478" i="2"/>
  <c r="M478" i="2"/>
  <c r="L478" i="2"/>
  <c r="Q477" i="2"/>
  <c r="P477" i="2"/>
  <c r="O477" i="2"/>
  <c r="N477" i="2"/>
  <c r="M477" i="2"/>
  <c r="L477" i="2"/>
  <c r="Q476" i="2"/>
  <c r="P476" i="2"/>
  <c r="O476" i="2"/>
  <c r="N476" i="2"/>
  <c r="M476" i="2"/>
  <c r="L476" i="2"/>
  <c r="Q475" i="2"/>
  <c r="P475" i="2"/>
  <c r="O475" i="2"/>
  <c r="N475" i="2"/>
  <c r="M475" i="2"/>
  <c r="L475" i="2"/>
  <c r="Q474" i="2"/>
  <c r="P474" i="2"/>
  <c r="O474" i="2"/>
  <c r="N474" i="2"/>
  <c r="M474" i="2"/>
  <c r="L474" i="2"/>
  <c r="Q473" i="2"/>
  <c r="P473" i="2"/>
  <c r="O473" i="2"/>
  <c r="N473" i="2"/>
  <c r="M473" i="2"/>
  <c r="L473" i="2"/>
  <c r="Q472" i="2"/>
  <c r="P472" i="2"/>
  <c r="O472" i="2"/>
  <c r="N472" i="2"/>
  <c r="M472" i="2"/>
  <c r="L472" i="2"/>
  <c r="Q471" i="2"/>
  <c r="P471" i="2"/>
  <c r="O471" i="2"/>
  <c r="N471" i="2"/>
  <c r="M471" i="2"/>
  <c r="L471" i="2"/>
  <c r="Q470" i="2"/>
  <c r="P470" i="2"/>
  <c r="O470" i="2"/>
  <c r="N470" i="2"/>
  <c r="M470" i="2"/>
  <c r="L470" i="2"/>
  <c r="Q469" i="2"/>
  <c r="P469" i="2"/>
  <c r="O469" i="2"/>
  <c r="N469" i="2"/>
  <c r="M469" i="2"/>
  <c r="L469" i="2"/>
  <c r="Q468" i="2"/>
  <c r="P468" i="2"/>
  <c r="O468" i="2"/>
  <c r="N468" i="2"/>
  <c r="M468" i="2"/>
  <c r="L468" i="2"/>
  <c r="Q467" i="2"/>
  <c r="P467" i="2"/>
  <c r="O467" i="2"/>
  <c r="N467" i="2"/>
  <c r="M467" i="2"/>
  <c r="L467" i="2"/>
  <c r="Q466" i="2"/>
  <c r="P466" i="2"/>
  <c r="O466" i="2"/>
  <c r="N466" i="2"/>
  <c r="M466" i="2"/>
  <c r="L466" i="2"/>
  <c r="Q465" i="2"/>
  <c r="P465" i="2"/>
  <c r="O465" i="2"/>
  <c r="N465" i="2"/>
  <c r="M465" i="2"/>
  <c r="L465" i="2"/>
  <c r="Q464" i="2"/>
  <c r="P464" i="2"/>
  <c r="O464" i="2"/>
  <c r="N464" i="2"/>
  <c r="M464" i="2"/>
  <c r="L464" i="2"/>
  <c r="Q463" i="2"/>
  <c r="P463" i="2"/>
  <c r="O463" i="2"/>
  <c r="N463" i="2"/>
  <c r="M463" i="2"/>
  <c r="L463" i="2"/>
  <c r="Q462" i="2"/>
  <c r="P462" i="2"/>
  <c r="O462" i="2"/>
  <c r="N462" i="2"/>
  <c r="M462" i="2"/>
  <c r="L462" i="2"/>
  <c r="Q461" i="2"/>
  <c r="P461" i="2"/>
  <c r="O461" i="2"/>
  <c r="N461" i="2"/>
  <c r="M461" i="2"/>
  <c r="L461" i="2"/>
  <c r="Q460" i="2"/>
  <c r="P460" i="2"/>
  <c r="O460" i="2"/>
  <c r="N460" i="2"/>
  <c r="M460" i="2"/>
  <c r="L460" i="2"/>
  <c r="Q459" i="2"/>
  <c r="P459" i="2"/>
  <c r="O459" i="2"/>
  <c r="N459" i="2"/>
  <c r="M459" i="2"/>
  <c r="L459" i="2"/>
  <c r="Q458" i="2"/>
  <c r="P458" i="2"/>
  <c r="O458" i="2"/>
  <c r="N458" i="2"/>
  <c r="M458" i="2"/>
  <c r="L458" i="2"/>
  <c r="Q457" i="2"/>
  <c r="P457" i="2"/>
  <c r="O457" i="2"/>
  <c r="N457" i="2"/>
  <c r="M457" i="2"/>
  <c r="L457" i="2"/>
  <c r="Q456" i="2"/>
  <c r="P456" i="2"/>
  <c r="O456" i="2"/>
  <c r="N456" i="2"/>
  <c r="M456" i="2"/>
  <c r="L456" i="2"/>
  <c r="Q455" i="2"/>
  <c r="P455" i="2"/>
  <c r="O455" i="2"/>
  <c r="N455" i="2"/>
  <c r="M455" i="2"/>
  <c r="L455" i="2"/>
  <c r="Q454" i="2"/>
  <c r="P454" i="2"/>
  <c r="O454" i="2"/>
  <c r="N454" i="2"/>
  <c r="M454" i="2"/>
  <c r="L454" i="2"/>
  <c r="Q453" i="2"/>
  <c r="P453" i="2"/>
  <c r="O453" i="2"/>
  <c r="N453" i="2"/>
  <c r="M453" i="2"/>
  <c r="L453" i="2"/>
  <c r="Q452" i="2"/>
  <c r="P452" i="2"/>
  <c r="O452" i="2"/>
  <c r="N452" i="2"/>
  <c r="M452" i="2"/>
  <c r="L452" i="2"/>
  <c r="Q451" i="2"/>
  <c r="P451" i="2"/>
  <c r="O451" i="2"/>
  <c r="N451" i="2"/>
  <c r="M451" i="2"/>
  <c r="L451" i="2"/>
  <c r="Q450" i="2"/>
  <c r="P450" i="2"/>
  <c r="O450" i="2"/>
  <c r="N450" i="2"/>
  <c r="M450" i="2"/>
  <c r="L450" i="2"/>
  <c r="Q449" i="2"/>
  <c r="P449" i="2"/>
  <c r="O449" i="2"/>
  <c r="N449" i="2"/>
  <c r="M449" i="2"/>
  <c r="L449" i="2"/>
  <c r="Q448" i="2"/>
  <c r="P448" i="2"/>
  <c r="O448" i="2"/>
  <c r="N448" i="2"/>
  <c r="M448" i="2"/>
  <c r="L448" i="2"/>
  <c r="Q447" i="2"/>
  <c r="P447" i="2"/>
  <c r="O447" i="2"/>
  <c r="N447" i="2"/>
  <c r="M447" i="2"/>
  <c r="L447" i="2"/>
  <c r="Q446" i="2"/>
  <c r="P446" i="2"/>
  <c r="O446" i="2"/>
  <c r="N446" i="2"/>
  <c r="M446" i="2"/>
  <c r="L446" i="2"/>
  <c r="Q445" i="2"/>
  <c r="P445" i="2"/>
  <c r="O445" i="2"/>
  <c r="N445" i="2"/>
  <c r="M445" i="2"/>
  <c r="L445" i="2"/>
  <c r="Q444" i="2"/>
  <c r="P444" i="2"/>
  <c r="O444" i="2"/>
  <c r="N444" i="2"/>
  <c r="M444" i="2"/>
  <c r="L444" i="2"/>
  <c r="Q443" i="2"/>
  <c r="P443" i="2"/>
  <c r="O443" i="2"/>
  <c r="N443" i="2"/>
  <c r="M443" i="2"/>
  <c r="L443" i="2"/>
  <c r="Q442" i="2"/>
  <c r="P442" i="2"/>
  <c r="O442" i="2"/>
  <c r="N442" i="2"/>
  <c r="M442" i="2"/>
  <c r="L442" i="2"/>
  <c r="Q441" i="2"/>
  <c r="P441" i="2"/>
  <c r="O441" i="2"/>
  <c r="N441" i="2"/>
  <c r="M441" i="2"/>
  <c r="L441" i="2"/>
  <c r="Q440" i="2"/>
  <c r="P440" i="2"/>
  <c r="O440" i="2"/>
  <c r="N440" i="2"/>
  <c r="M440" i="2"/>
  <c r="L440" i="2"/>
  <c r="Q439" i="2"/>
  <c r="P439" i="2"/>
  <c r="O439" i="2"/>
  <c r="N439" i="2"/>
  <c r="M439" i="2"/>
  <c r="L439" i="2"/>
  <c r="Q438" i="2"/>
  <c r="P438" i="2"/>
  <c r="O438" i="2"/>
  <c r="N438" i="2"/>
  <c r="M438" i="2"/>
  <c r="L438" i="2"/>
  <c r="Q437" i="2"/>
  <c r="P437" i="2"/>
  <c r="O437" i="2"/>
  <c r="N437" i="2"/>
  <c r="M437" i="2"/>
  <c r="L437" i="2"/>
  <c r="Q436" i="2"/>
  <c r="P436" i="2"/>
  <c r="O436" i="2"/>
  <c r="N436" i="2"/>
  <c r="M436" i="2"/>
  <c r="L436" i="2"/>
  <c r="Q435" i="2"/>
  <c r="P435" i="2"/>
  <c r="O435" i="2"/>
  <c r="N435" i="2"/>
  <c r="M435" i="2"/>
  <c r="L435" i="2"/>
  <c r="Q434" i="2"/>
  <c r="P434" i="2"/>
  <c r="O434" i="2"/>
  <c r="N434" i="2"/>
  <c r="M434" i="2"/>
  <c r="L434" i="2"/>
  <c r="Q433" i="2"/>
  <c r="P433" i="2"/>
  <c r="O433" i="2"/>
  <c r="N433" i="2"/>
  <c r="M433" i="2"/>
  <c r="L433" i="2"/>
  <c r="Q432" i="2"/>
  <c r="P432" i="2"/>
  <c r="O432" i="2"/>
  <c r="N432" i="2"/>
  <c r="M432" i="2"/>
  <c r="L432" i="2"/>
  <c r="Q431" i="2"/>
  <c r="P431" i="2"/>
  <c r="O431" i="2"/>
  <c r="N431" i="2"/>
  <c r="M431" i="2"/>
  <c r="L431" i="2"/>
  <c r="Q430" i="2"/>
  <c r="P430" i="2"/>
  <c r="O430" i="2"/>
  <c r="N430" i="2"/>
  <c r="M430" i="2"/>
  <c r="L430" i="2"/>
  <c r="Q429" i="2"/>
  <c r="P429" i="2"/>
  <c r="O429" i="2"/>
  <c r="N429" i="2"/>
  <c r="M429" i="2"/>
  <c r="L429" i="2"/>
  <c r="Q428" i="2"/>
  <c r="P428" i="2"/>
  <c r="O428" i="2"/>
  <c r="N428" i="2"/>
  <c r="M428" i="2"/>
  <c r="L428" i="2"/>
  <c r="Q427" i="2"/>
  <c r="P427" i="2"/>
  <c r="O427" i="2"/>
  <c r="N427" i="2"/>
  <c r="M427" i="2"/>
  <c r="L427" i="2"/>
  <c r="Q426" i="2"/>
  <c r="P426" i="2"/>
  <c r="O426" i="2"/>
  <c r="N426" i="2"/>
  <c r="M426" i="2"/>
  <c r="L426" i="2"/>
  <c r="Q425" i="2"/>
  <c r="P425" i="2"/>
  <c r="O425" i="2"/>
  <c r="N425" i="2"/>
  <c r="M425" i="2"/>
  <c r="L425" i="2"/>
  <c r="Q424" i="2"/>
  <c r="P424" i="2"/>
  <c r="O424" i="2"/>
  <c r="N424" i="2"/>
  <c r="M424" i="2"/>
  <c r="L424" i="2"/>
  <c r="Q423" i="2"/>
  <c r="P423" i="2"/>
  <c r="O423" i="2"/>
  <c r="N423" i="2"/>
  <c r="M423" i="2"/>
  <c r="L423" i="2"/>
  <c r="Q422" i="2"/>
  <c r="P422" i="2"/>
  <c r="O422" i="2"/>
  <c r="N422" i="2"/>
  <c r="M422" i="2"/>
  <c r="L422" i="2"/>
  <c r="Q421" i="2"/>
  <c r="P421" i="2"/>
  <c r="O421" i="2"/>
  <c r="N421" i="2"/>
  <c r="M421" i="2"/>
  <c r="L421" i="2"/>
  <c r="Q420" i="2"/>
  <c r="P420" i="2"/>
  <c r="O420" i="2"/>
  <c r="N420" i="2"/>
  <c r="M420" i="2"/>
  <c r="L420" i="2"/>
  <c r="Q419" i="2"/>
  <c r="P419" i="2"/>
  <c r="O419" i="2"/>
  <c r="N419" i="2"/>
  <c r="M419" i="2"/>
  <c r="L419" i="2"/>
  <c r="Q418" i="2"/>
  <c r="P418" i="2"/>
  <c r="O418" i="2"/>
  <c r="N418" i="2"/>
  <c r="M418" i="2"/>
  <c r="L418" i="2"/>
  <c r="Q417" i="2"/>
  <c r="P417" i="2"/>
  <c r="O417" i="2"/>
  <c r="N417" i="2"/>
  <c r="M417" i="2"/>
  <c r="L417" i="2"/>
  <c r="Q416" i="2"/>
  <c r="P416" i="2"/>
  <c r="O416" i="2"/>
  <c r="N416" i="2"/>
  <c r="M416" i="2"/>
  <c r="L416" i="2"/>
  <c r="Q415" i="2"/>
  <c r="P415" i="2"/>
  <c r="O415" i="2"/>
  <c r="N415" i="2"/>
  <c r="M415" i="2"/>
  <c r="L415" i="2"/>
  <c r="Q414" i="2"/>
  <c r="P414" i="2"/>
  <c r="O414" i="2"/>
  <c r="N414" i="2"/>
  <c r="M414" i="2"/>
  <c r="L414" i="2"/>
  <c r="Q413" i="2"/>
  <c r="P413" i="2"/>
  <c r="O413" i="2"/>
  <c r="N413" i="2"/>
  <c r="M413" i="2"/>
  <c r="L413" i="2"/>
  <c r="Q412" i="2"/>
  <c r="P412" i="2"/>
  <c r="O412" i="2"/>
  <c r="N412" i="2"/>
  <c r="M412" i="2"/>
  <c r="L412" i="2"/>
  <c r="Q411" i="2"/>
  <c r="P411" i="2"/>
  <c r="O411" i="2"/>
  <c r="N411" i="2"/>
  <c r="M411" i="2"/>
  <c r="L411" i="2"/>
  <c r="Q410" i="2"/>
  <c r="P410" i="2"/>
  <c r="O410" i="2"/>
  <c r="N410" i="2"/>
  <c r="M410" i="2"/>
  <c r="L410" i="2"/>
  <c r="Q409" i="2"/>
  <c r="P409" i="2"/>
  <c r="O409" i="2"/>
  <c r="N409" i="2"/>
  <c r="M409" i="2"/>
  <c r="L409" i="2"/>
  <c r="Q408" i="2"/>
  <c r="P408" i="2"/>
  <c r="O408" i="2"/>
  <c r="N408" i="2"/>
  <c r="M408" i="2"/>
  <c r="L408" i="2"/>
  <c r="Q407" i="2"/>
  <c r="P407" i="2"/>
  <c r="O407" i="2"/>
  <c r="N407" i="2"/>
  <c r="M407" i="2"/>
  <c r="L407" i="2"/>
  <c r="Q406" i="2"/>
  <c r="P406" i="2"/>
  <c r="O406" i="2"/>
  <c r="N406" i="2"/>
  <c r="M406" i="2"/>
  <c r="L406" i="2"/>
  <c r="Q405" i="2"/>
  <c r="P405" i="2"/>
  <c r="O405" i="2"/>
  <c r="N405" i="2"/>
  <c r="M405" i="2"/>
  <c r="L405" i="2"/>
  <c r="Q404" i="2"/>
  <c r="P404" i="2"/>
  <c r="O404" i="2"/>
  <c r="N404" i="2"/>
  <c r="M404" i="2"/>
  <c r="L404" i="2"/>
  <c r="Q403" i="2"/>
  <c r="P403" i="2"/>
  <c r="O403" i="2"/>
  <c r="N403" i="2"/>
  <c r="M403" i="2"/>
  <c r="L403" i="2"/>
  <c r="Q402" i="2"/>
  <c r="P402" i="2"/>
  <c r="O402" i="2"/>
  <c r="N402" i="2"/>
  <c r="M402" i="2"/>
  <c r="L402" i="2"/>
  <c r="Q401" i="2"/>
  <c r="P401" i="2"/>
  <c r="O401" i="2"/>
  <c r="N401" i="2"/>
  <c r="M401" i="2"/>
  <c r="L401" i="2"/>
  <c r="Q400" i="2"/>
  <c r="P400" i="2"/>
  <c r="O400" i="2"/>
  <c r="N400" i="2"/>
  <c r="M400" i="2"/>
  <c r="L400" i="2"/>
  <c r="Q399" i="2"/>
  <c r="P399" i="2"/>
  <c r="O399" i="2"/>
  <c r="N399" i="2"/>
  <c r="M399" i="2"/>
  <c r="L399" i="2"/>
  <c r="Q398" i="2"/>
  <c r="P398" i="2"/>
  <c r="O398" i="2"/>
  <c r="N398" i="2"/>
  <c r="M398" i="2"/>
  <c r="L398" i="2"/>
  <c r="Q397" i="2"/>
  <c r="P397" i="2"/>
  <c r="O397" i="2"/>
  <c r="N397" i="2"/>
  <c r="M397" i="2"/>
  <c r="L397" i="2"/>
  <c r="Q396" i="2"/>
  <c r="P396" i="2"/>
  <c r="O396" i="2"/>
  <c r="N396" i="2"/>
  <c r="M396" i="2"/>
  <c r="L396" i="2"/>
  <c r="Q395" i="2"/>
  <c r="P395" i="2"/>
  <c r="O395" i="2"/>
  <c r="N395" i="2"/>
  <c r="M395" i="2"/>
  <c r="L395" i="2"/>
  <c r="Q394" i="2"/>
  <c r="P394" i="2"/>
  <c r="O394" i="2"/>
  <c r="N394" i="2"/>
  <c r="M394" i="2"/>
  <c r="L394" i="2"/>
  <c r="Q393" i="2"/>
  <c r="P393" i="2"/>
  <c r="O393" i="2"/>
  <c r="N393" i="2"/>
  <c r="M393" i="2"/>
  <c r="L393" i="2"/>
  <c r="Q392" i="2"/>
  <c r="P392" i="2"/>
  <c r="O392" i="2"/>
  <c r="N392" i="2"/>
  <c r="M392" i="2"/>
  <c r="L392" i="2"/>
  <c r="Q391" i="2"/>
  <c r="P391" i="2"/>
  <c r="O391" i="2"/>
  <c r="N391" i="2"/>
  <c r="M391" i="2"/>
  <c r="L391" i="2"/>
  <c r="Q390" i="2"/>
  <c r="P390" i="2"/>
  <c r="O390" i="2"/>
  <c r="N390" i="2"/>
  <c r="M390" i="2"/>
  <c r="L390" i="2"/>
  <c r="Q389" i="2"/>
  <c r="P389" i="2"/>
  <c r="O389" i="2"/>
  <c r="N389" i="2"/>
  <c r="M389" i="2"/>
  <c r="L389" i="2"/>
  <c r="Q388" i="2"/>
  <c r="P388" i="2"/>
  <c r="O388" i="2"/>
  <c r="N388" i="2"/>
  <c r="M388" i="2"/>
  <c r="L388" i="2"/>
  <c r="Q387" i="2"/>
  <c r="P387" i="2"/>
  <c r="O387" i="2"/>
  <c r="N387" i="2"/>
  <c r="M387" i="2"/>
  <c r="L387" i="2"/>
  <c r="Q386" i="2"/>
  <c r="P386" i="2"/>
  <c r="O386" i="2"/>
  <c r="N386" i="2"/>
  <c r="M386" i="2"/>
  <c r="L386" i="2"/>
  <c r="Q385" i="2"/>
  <c r="P385" i="2"/>
  <c r="O385" i="2"/>
  <c r="N385" i="2"/>
  <c r="M385" i="2"/>
  <c r="L385" i="2"/>
  <c r="Q384" i="2"/>
  <c r="P384" i="2"/>
  <c r="O384" i="2"/>
  <c r="N384" i="2"/>
  <c r="M384" i="2"/>
  <c r="L384" i="2"/>
  <c r="Q383" i="2"/>
  <c r="P383" i="2"/>
  <c r="O383" i="2"/>
  <c r="N383" i="2"/>
  <c r="M383" i="2"/>
  <c r="L383" i="2"/>
  <c r="Q382" i="2"/>
  <c r="P382" i="2"/>
  <c r="O382" i="2"/>
  <c r="N382" i="2"/>
  <c r="M382" i="2"/>
  <c r="L382" i="2"/>
  <c r="Q381" i="2"/>
  <c r="P381" i="2"/>
  <c r="O381" i="2"/>
  <c r="N381" i="2"/>
  <c r="M381" i="2"/>
  <c r="L381" i="2"/>
  <c r="Q380" i="2"/>
  <c r="P380" i="2"/>
  <c r="O380" i="2"/>
  <c r="N380" i="2"/>
  <c r="M380" i="2"/>
  <c r="L380" i="2"/>
  <c r="Q379" i="2"/>
  <c r="P379" i="2"/>
  <c r="O379" i="2"/>
  <c r="N379" i="2"/>
  <c r="M379" i="2"/>
  <c r="L379" i="2"/>
  <c r="Q378" i="2"/>
  <c r="P378" i="2"/>
  <c r="O378" i="2"/>
  <c r="N378" i="2"/>
  <c r="M378" i="2"/>
  <c r="L378" i="2"/>
  <c r="Q377" i="2"/>
  <c r="P377" i="2"/>
  <c r="O377" i="2"/>
  <c r="N377" i="2"/>
  <c r="M377" i="2"/>
  <c r="L377" i="2"/>
  <c r="Q376" i="2"/>
  <c r="P376" i="2"/>
  <c r="O376" i="2"/>
  <c r="N376" i="2"/>
  <c r="M376" i="2"/>
  <c r="L376" i="2"/>
  <c r="Q375" i="2"/>
  <c r="P375" i="2"/>
  <c r="O375" i="2"/>
  <c r="N375" i="2"/>
  <c r="M375" i="2"/>
  <c r="L375" i="2"/>
  <c r="Q374" i="2"/>
  <c r="P374" i="2"/>
  <c r="O374" i="2"/>
  <c r="N374" i="2"/>
  <c r="M374" i="2"/>
  <c r="L374" i="2"/>
  <c r="Q373" i="2"/>
  <c r="P373" i="2"/>
  <c r="O373" i="2"/>
  <c r="N373" i="2"/>
  <c r="M373" i="2"/>
  <c r="L373" i="2"/>
  <c r="Q372" i="2"/>
  <c r="P372" i="2"/>
  <c r="O372" i="2"/>
  <c r="N372" i="2"/>
  <c r="M372" i="2"/>
  <c r="L372" i="2"/>
  <c r="Q371" i="2"/>
  <c r="P371" i="2"/>
  <c r="O371" i="2"/>
  <c r="N371" i="2"/>
  <c r="M371" i="2"/>
  <c r="L371" i="2"/>
  <c r="Q370" i="2"/>
  <c r="P370" i="2"/>
  <c r="O370" i="2"/>
  <c r="N370" i="2"/>
  <c r="M370" i="2"/>
  <c r="L370" i="2"/>
  <c r="Q369" i="2"/>
  <c r="P369" i="2"/>
  <c r="O369" i="2"/>
  <c r="N369" i="2"/>
  <c r="M369" i="2"/>
  <c r="L369" i="2"/>
  <c r="Q368" i="2"/>
  <c r="P368" i="2"/>
  <c r="O368" i="2"/>
  <c r="N368" i="2"/>
  <c r="M368" i="2"/>
  <c r="L368" i="2"/>
  <c r="Q367" i="2"/>
  <c r="P367" i="2"/>
  <c r="O367" i="2"/>
  <c r="N367" i="2"/>
  <c r="M367" i="2"/>
  <c r="L367" i="2"/>
  <c r="Q366" i="2"/>
  <c r="P366" i="2"/>
  <c r="O366" i="2"/>
  <c r="N366" i="2"/>
  <c r="M366" i="2"/>
  <c r="L366" i="2"/>
  <c r="Q365" i="2"/>
  <c r="P365" i="2"/>
  <c r="O365" i="2"/>
  <c r="N365" i="2"/>
  <c r="M365" i="2"/>
  <c r="L365" i="2"/>
  <c r="Q364" i="2"/>
  <c r="P364" i="2"/>
  <c r="O364" i="2"/>
  <c r="N364" i="2"/>
  <c r="M364" i="2"/>
  <c r="L364" i="2"/>
  <c r="Q363" i="2"/>
  <c r="P363" i="2"/>
  <c r="O363" i="2"/>
  <c r="N363" i="2"/>
  <c r="M363" i="2"/>
  <c r="L363" i="2"/>
  <c r="Q362" i="2"/>
  <c r="P362" i="2"/>
  <c r="O362" i="2"/>
  <c r="N362" i="2"/>
  <c r="M362" i="2"/>
  <c r="L362" i="2"/>
  <c r="Q361" i="2"/>
  <c r="P361" i="2"/>
  <c r="O361" i="2"/>
  <c r="N361" i="2"/>
  <c r="M361" i="2"/>
  <c r="L361" i="2"/>
  <c r="Q360" i="2"/>
  <c r="P360" i="2"/>
  <c r="O360" i="2"/>
  <c r="N360" i="2"/>
  <c r="M360" i="2"/>
  <c r="L360" i="2"/>
  <c r="Q359" i="2"/>
  <c r="P359" i="2"/>
  <c r="O359" i="2"/>
  <c r="N359" i="2"/>
  <c r="M359" i="2"/>
  <c r="L359" i="2"/>
  <c r="Q358" i="2"/>
  <c r="P358" i="2"/>
  <c r="O358" i="2"/>
  <c r="N358" i="2"/>
  <c r="M358" i="2"/>
  <c r="L358" i="2"/>
  <c r="Q357" i="2"/>
  <c r="P357" i="2"/>
  <c r="O357" i="2"/>
  <c r="N357" i="2"/>
  <c r="M357" i="2"/>
  <c r="L357" i="2"/>
  <c r="Q356" i="2"/>
  <c r="P356" i="2"/>
  <c r="O356" i="2"/>
  <c r="N356" i="2"/>
  <c r="M356" i="2"/>
  <c r="L356" i="2"/>
  <c r="Q355" i="2"/>
  <c r="P355" i="2"/>
  <c r="O355" i="2"/>
  <c r="N355" i="2"/>
  <c r="M355" i="2"/>
  <c r="L355" i="2"/>
  <c r="Q354" i="2"/>
  <c r="P354" i="2"/>
  <c r="O354" i="2"/>
  <c r="N354" i="2"/>
  <c r="M354" i="2"/>
  <c r="L354" i="2"/>
  <c r="Q353" i="2"/>
  <c r="P353" i="2"/>
  <c r="O353" i="2"/>
  <c r="N353" i="2"/>
  <c r="M353" i="2"/>
  <c r="L353" i="2"/>
  <c r="Q352" i="2"/>
  <c r="P352" i="2"/>
  <c r="O352" i="2"/>
  <c r="N352" i="2"/>
  <c r="M352" i="2"/>
  <c r="L352" i="2"/>
  <c r="Q351" i="2"/>
  <c r="P351" i="2"/>
  <c r="O351" i="2"/>
  <c r="N351" i="2"/>
  <c r="M351" i="2"/>
  <c r="L351" i="2"/>
  <c r="Q350" i="2"/>
  <c r="P350" i="2"/>
  <c r="O350" i="2"/>
  <c r="N350" i="2"/>
  <c r="M350" i="2"/>
  <c r="L350" i="2"/>
  <c r="Q349" i="2"/>
  <c r="P349" i="2"/>
  <c r="O349" i="2"/>
  <c r="N349" i="2"/>
  <c r="M349" i="2"/>
  <c r="L349" i="2"/>
  <c r="Q348" i="2"/>
  <c r="P348" i="2"/>
  <c r="O348" i="2"/>
  <c r="N348" i="2"/>
  <c r="M348" i="2"/>
  <c r="L348" i="2"/>
  <c r="Q347" i="2"/>
  <c r="P347" i="2"/>
  <c r="O347" i="2"/>
  <c r="N347" i="2"/>
  <c r="M347" i="2"/>
  <c r="L347" i="2"/>
  <c r="Q346" i="2"/>
  <c r="P346" i="2"/>
  <c r="O346" i="2"/>
  <c r="N346" i="2"/>
  <c r="M346" i="2"/>
  <c r="L346" i="2"/>
  <c r="Q345" i="2"/>
  <c r="P345" i="2"/>
  <c r="O345" i="2"/>
  <c r="N345" i="2"/>
  <c r="M345" i="2"/>
  <c r="L345" i="2"/>
  <c r="Q344" i="2"/>
  <c r="P344" i="2"/>
  <c r="O344" i="2"/>
  <c r="N344" i="2"/>
  <c r="M344" i="2"/>
  <c r="L344" i="2"/>
  <c r="Q343" i="2"/>
  <c r="P343" i="2"/>
  <c r="O343" i="2"/>
  <c r="N343" i="2"/>
  <c r="M343" i="2"/>
  <c r="L343" i="2"/>
  <c r="Q342" i="2"/>
  <c r="P342" i="2"/>
  <c r="O342" i="2"/>
  <c r="N342" i="2"/>
  <c r="M342" i="2"/>
  <c r="L342" i="2"/>
  <c r="Q341" i="2"/>
  <c r="P341" i="2"/>
  <c r="O341" i="2"/>
  <c r="N341" i="2"/>
  <c r="M341" i="2"/>
  <c r="L341" i="2"/>
  <c r="Q340" i="2"/>
  <c r="P340" i="2"/>
  <c r="O340" i="2"/>
  <c r="N340" i="2"/>
  <c r="M340" i="2"/>
  <c r="L340" i="2"/>
  <c r="Q339" i="2"/>
  <c r="P339" i="2"/>
  <c r="O339" i="2"/>
  <c r="N339" i="2"/>
  <c r="M339" i="2"/>
  <c r="L339" i="2"/>
  <c r="Q338" i="2"/>
  <c r="P338" i="2"/>
  <c r="O338" i="2"/>
  <c r="N338" i="2"/>
  <c r="M338" i="2"/>
  <c r="L338" i="2"/>
  <c r="Q337" i="2"/>
  <c r="P337" i="2"/>
  <c r="O337" i="2"/>
  <c r="N337" i="2"/>
  <c r="M337" i="2"/>
  <c r="L337" i="2"/>
  <c r="Q336" i="2"/>
  <c r="P336" i="2"/>
  <c r="O336" i="2"/>
  <c r="N336" i="2"/>
  <c r="M336" i="2"/>
  <c r="L336" i="2"/>
  <c r="Q335" i="2"/>
  <c r="P335" i="2"/>
  <c r="O335" i="2"/>
  <c r="N335" i="2"/>
  <c r="M335" i="2"/>
  <c r="L335" i="2"/>
  <c r="Q334" i="2"/>
  <c r="P334" i="2"/>
  <c r="O334" i="2"/>
  <c r="N334" i="2"/>
  <c r="M334" i="2"/>
  <c r="L334" i="2"/>
  <c r="Q333" i="2"/>
  <c r="P333" i="2"/>
  <c r="O333" i="2"/>
  <c r="N333" i="2"/>
  <c r="M333" i="2"/>
  <c r="L333" i="2"/>
  <c r="Q332" i="2"/>
  <c r="P332" i="2"/>
  <c r="O332" i="2"/>
  <c r="N332" i="2"/>
  <c r="M332" i="2"/>
  <c r="L332" i="2"/>
  <c r="Q331" i="2"/>
  <c r="P331" i="2"/>
  <c r="O331" i="2"/>
  <c r="N331" i="2"/>
  <c r="M331" i="2"/>
  <c r="L331" i="2"/>
  <c r="Q330" i="2"/>
  <c r="P330" i="2"/>
  <c r="O330" i="2"/>
  <c r="N330" i="2"/>
  <c r="M330" i="2"/>
  <c r="L330" i="2"/>
  <c r="Q329" i="2"/>
  <c r="P329" i="2"/>
  <c r="O329" i="2"/>
  <c r="N329" i="2"/>
  <c r="M329" i="2"/>
  <c r="L329" i="2"/>
  <c r="Q328" i="2"/>
  <c r="P328" i="2"/>
  <c r="O328" i="2"/>
  <c r="N328" i="2"/>
  <c r="M328" i="2"/>
  <c r="L328" i="2"/>
  <c r="Q327" i="2"/>
  <c r="P327" i="2"/>
  <c r="O327" i="2"/>
  <c r="N327" i="2"/>
  <c r="M327" i="2"/>
  <c r="L327" i="2"/>
  <c r="Q326" i="2"/>
  <c r="P326" i="2"/>
  <c r="O326" i="2"/>
  <c r="N326" i="2"/>
  <c r="M326" i="2"/>
  <c r="L326" i="2"/>
  <c r="Q325" i="2"/>
  <c r="P325" i="2"/>
  <c r="O325" i="2"/>
  <c r="N325" i="2"/>
  <c r="M325" i="2"/>
  <c r="L325" i="2"/>
  <c r="Q324" i="2"/>
  <c r="P324" i="2"/>
  <c r="O324" i="2"/>
  <c r="N324" i="2"/>
  <c r="M324" i="2"/>
  <c r="L324" i="2"/>
  <c r="Q323" i="2"/>
  <c r="P323" i="2"/>
  <c r="O323" i="2"/>
  <c r="N323" i="2"/>
  <c r="M323" i="2"/>
  <c r="L323" i="2"/>
  <c r="Q322" i="2"/>
  <c r="P322" i="2"/>
  <c r="O322" i="2"/>
  <c r="N322" i="2"/>
  <c r="M322" i="2"/>
  <c r="L322" i="2"/>
  <c r="Q321" i="2"/>
  <c r="P321" i="2"/>
  <c r="O321" i="2"/>
  <c r="N321" i="2"/>
  <c r="M321" i="2"/>
  <c r="L321" i="2"/>
  <c r="Q320" i="2"/>
  <c r="P320" i="2"/>
  <c r="O320" i="2"/>
  <c r="N320" i="2"/>
  <c r="M320" i="2"/>
  <c r="L320" i="2"/>
  <c r="Q319" i="2"/>
  <c r="P319" i="2"/>
  <c r="O319" i="2"/>
  <c r="N319" i="2"/>
  <c r="M319" i="2"/>
  <c r="L319" i="2"/>
  <c r="Q318" i="2"/>
  <c r="P318" i="2"/>
  <c r="O318" i="2"/>
  <c r="N318" i="2"/>
  <c r="M318" i="2"/>
  <c r="L318" i="2"/>
  <c r="Q317" i="2"/>
  <c r="P317" i="2"/>
  <c r="O317" i="2"/>
  <c r="N317" i="2"/>
  <c r="M317" i="2"/>
  <c r="L317" i="2"/>
  <c r="Q316" i="2"/>
  <c r="P316" i="2"/>
  <c r="O316" i="2"/>
  <c r="N316" i="2"/>
  <c r="M316" i="2"/>
  <c r="L316" i="2"/>
  <c r="Q315" i="2"/>
  <c r="P315" i="2"/>
  <c r="O315" i="2"/>
  <c r="N315" i="2"/>
  <c r="M315" i="2"/>
  <c r="L315" i="2"/>
  <c r="Q314" i="2"/>
  <c r="P314" i="2"/>
  <c r="O314" i="2"/>
  <c r="N314" i="2"/>
  <c r="M314" i="2"/>
  <c r="L314" i="2"/>
  <c r="Q313" i="2"/>
  <c r="P313" i="2"/>
  <c r="O313" i="2"/>
  <c r="N313" i="2"/>
  <c r="M313" i="2"/>
  <c r="L313" i="2"/>
  <c r="Q312" i="2"/>
  <c r="P312" i="2"/>
  <c r="O312" i="2"/>
  <c r="N312" i="2"/>
  <c r="M312" i="2"/>
  <c r="L312" i="2"/>
  <c r="Q311" i="2"/>
  <c r="P311" i="2"/>
  <c r="O311" i="2"/>
  <c r="N311" i="2"/>
  <c r="M311" i="2"/>
  <c r="L311" i="2"/>
  <c r="Q310" i="2"/>
  <c r="P310" i="2"/>
  <c r="O310" i="2"/>
  <c r="N310" i="2"/>
  <c r="M310" i="2"/>
  <c r="L310" i="2"/>
  <c r="Q309" i="2"/>
  <c r="P309" i="2"/>
  <c r="O309" i="2"/>
  <c r="N309" i="2"/>
  <c r="M309" i="2"/>
  <c r="L309" i="2"/>
  <c r="Q308" i="2"/>
  <c r="P308" i="2"/>
  <c r="O308" i="2"/>
  <c r="N308" i="2"/>
  <c r="M308" i="2"/>
  <c r="L308" i="2"/>
  <c r="Q307" i="2"/>
  <c r="P307" i="2"/>
  <c r="O307" i="2"/>
  <c r="N307" i="2"/>
  <c r="M307" i="2"/>
  <c r="L307" i="2"/>
  <c r="Q306" i="2"/>
  <c r="P306" i="2"/>
  <c r="O306" i="2"/>
  <c r="N306" i="2"/>
  <c r="M306" i="2"/>
  <c r="L306" i="2"/>
  <c r="Q305" i="2"/>
  <c r="P305" i="2"/>
  <c r="O305" i="2"/>
  <c r="N305" i="2"/>
  <c r="M305" i="2"/>
  <c r="L305" i="2"/>
  <c r="Q304" i="2"/>
  <c r="P304" i="2"/>
  <c r="O304" i="2"/>
  <c r="N304" i="2"/>
  <c r="M304" i="2"/>
  <c r="L304" i="2"/>
  <c r="Q303" i="2"/>
  <c r="P303" i="2"/>
  <c r="O303" i="2"/>
  <c r="N303" i="2"/>
  <c r="M303" i="2"/>
  <c r="L303" i="2"/>
  <c r="Q302" i="2"/>
  <c r="P302" i="2"/>
  <c r="O302" i="2"/>
  <c r="N302" i="2"/>
  <c r="M302" i="2"/>
  <c r="L302" i="2"/>
  <c r="Q301" i="2"/>
  <c r="P301" i="2"/>
  <c r="O301" i="2"/>
  <c r="N301" i="2"/>
  <c r="M301" i="2"/>
  <c r="L301" i="2"/>
  <c r="Q300" i="2"/>
  <c r="P300" i="2"/>
  <c r="O300" i="2"/>
  <c r="N300" i="2"/>
  <c r="M300" i="2"/>
  <c r="L300" i="2"/>
  <c r="Q299" i="2"/>
  <c r="P299" i="2"/>
  <c r="O299" i="2"/>
  <c r="N299" i="2"/>
  <c r="M299" i="2"/>
  <c r="L299" i="2"/>
  <c r="Q298" i="2"/>
  <c r="P298" i="2"/>
  <c r="O298" i="2"/>
  <c r="N298" i="2"/>
  <c r="M298" i="2"/>
  <c r="L298" i="2"/>
  <c r="Q297" i="2"/>
  <c r="P297" i="2"/>
  <c r="O297" i="2"/>
  <c r="N297" i="2"/>
  <c r="M297" i="2"/>
  <c r="L297" i="2"/>
  <c r="Q296" i="2"/>
  <c r="P296" i="2"/>
  <c r="O296" i="2"/>
  <c r="N296" i="2"/>
  <c r="M296" i="2"/>
  <c r="L296" i="2"/>
  <c r="Q295" i="2"/>
  <c r="P295" i="2"/>
  <c r="O295" i="2"/>
  <c r="N295" i="2"/>
  <c r="M295" i="2"/>
  <c r="L295" i="2"/>
  <c r="Q294" i="2"/>
  <c r="P294" i="2"/>
  <c r="O294" i="2"/>
  <c r="N294" i="2"/>
  <c r="M294" i="2"/>
  <c r="L294" i="2"/>
  <c r="Q293" i="2"/>
  <c r="P293" i="2"/>
  <c r="O293" i="2"/>
  <c r="N293" i="2"/>
  <c r="M293" i="2"/>
  <c r="L293" i="2"/>
  <c r="Q292" i="2"/>
  <c r="P292" i="2"/>
  <c r="O292" i="2"/>
  <c r="N292" i="2"/>
  <c r="M292" i="2"/>
  <c r="L292" i="2"/>
  <c r="Q291" i="2"/>
  <c r="P291" i="2"/>
  <c r="O291" i="2"/>
  <c r="N291" i="2"/>
  <c r="M291" i="2"/>
  <c r="L291" i="2"/>
  <c r="Q290" i="2"/>
  <c r="P290" i="2"/>
  <c r="O290" i="2"/>
  <c r="N290" i="2"/>
  <c r="M290" i="2"/>
  <c r="L290" i="2"/>
  <c r="Q289" i="2"/>
  <c r="P289" i="2"/>
  <c r="O289" i="2"/>
  <c r="N289" i="2"/>
  <c r="M289" i="2"/>
  <c r="L289" i="2"/>
  <c r="Q288" i="2"/>
  <c r="P288" i="2"/>
  <c r="O288" i="2"/>
  <c r="N288" i="2"/>
  <c r="M288" i="2"/>
  <c r="L288" i="2"/>
  <c r="Q287" i="2"/>
  <c r="P287" i="2"/>
  <c r="O287" i="2"/>
  <c r="N287" i="2"/>
  <c r="M287" i="2"/>
  <c r="L287" i="2"/>
  <c r="Q286" i="2"/>
  <c r="P286" i="2"/>
  <c r="O286" i="2"/>
  <c r="N286" i="2"/>
  <c r="M286" i="2"/>
  <c r="L286" i="2"/>
  <c r="Q285" i="2"/>
  <c r="P285" i="2"/>
  <c r="O285" i="2"/>
  <c r="N285" i="2"/>
  <c r="M285" i="2"/>
  <c r="L285" i="2"/>
  <c r="Q284" i="2"/>
  <c r="P284" i="2"/>
  <c r="O284" i="2"/>
  <c r="N284" i="2"/>
  <c r="M284" i="2"/>
  <c r="L284" i="2"/>
  <c r="Q283" i="2"/>
  <c r="P283" i="2"/>
  <c r="O283" i="2"/>
  <c r="N283" i="2"/>
  <c r="M283" i="2"/>
  <c r="L283" i="2"/>
  <c r="Q282" i="2"/>
  <c r="P282" i="2"/>
  <c r="O282" i="2"/>
  <c r="N282" i="2"/>
  <c r="M282" i="2"/>
  <c r="L282" i="2"/>
  <c r="Q281" i="2"/>
  <c r="P281" i="2"/>
  <c r="O281" i="2"/>
  <c r="N281" i="2"/>
  <c r="M281" i="2"/>
  <c r="L281" i="2"/>
  <c r="Q280" i="2"/>
  <c r="P280" i="2"/>
  <c r="O280" i="2"/>
  <c r="N280" i="2"/>
  <c r="M280" i="2"/>
  <c r="L280" i="2"/>
  <c r="Q279" i="2"/>
  <c r="P279" i="2"/>
  <c r="O279" i="2"/>
  <c r="N279" i="2"/>
  <c r="M279" i="2"/>
  <c r="L279" i="2"/>
  <c r="Q278" i="2"/>
  <c r="P278" i="2"/>
  <c r="O278" i="2"/>
  <c r="N278" i="2"/>
  <c r="M278" i="2"/>
  <c r="L278" i="2"/>
  <c r="Q277" i="2"/>
  <c r="P277" i="2"/>
  <c r="O277" i="2"/>
  <c r="N277" i="2"/>
  <c r="M277" i="2"/>
  <c r="L277" i="2"/>
  <c r="Q276" i="2"/>
  <c r="P276" i="2"/>
  <c r="O276" i="2"/>
  <c r="N276" i="2"/>
  <c r="M276" i="2"/>
  <c r="L276" i="2"/>
  <c r="Q275" i="2"/>
  <c r="P275" i="2"/>
  <c r="O275" i="2"/>
  <c r="N275" i="2"/>
  <c r="M275" i="2"/>
  <c r="L275" i="2"/>
  <c r="Q274" i="2"/>
  <c r="P274" i="2"/>
  <c r="O274" i="2"/>
  <c r="N274" i="2"/>
  <c r="M274" i="2"/>
  <c r="L274" i="2"/>
  <c r="Q273" i="2"/>
  <c r="P273" i="2"/>
  <c r="O273" i="2"/>
  <c r="N273" i="2"/>
  <c r="M273" i="2"/>
  <c r="L273" i="2"/>
  <c r="Q272" i="2"/>
  <c r="P272" i="2"/>
  <c r="O272" i="2"/>
  <c r="N272" i="2"/>
  <c r="M272" i="2"/>
  <c r="L272" i="2"/>
  <c r="Q271" i="2"/>
  <c r="P271" i="2"/>
  <c r="O271" i="2"/>
  <c r="N271" i="2"/>
  <c r="M271" i="2"/>
  <c r="L271" i="2"/>
  <c r="Q270" i="2"/>
  <c r="P270" i="2"/>
  <c r="O270" i="2"/>
  <c r="N270" i="2"/>
  <c r="M270" i="2"/>
  <c r="L270" i="2"/>
  <c r="Q269" i="2"/>
  <c r="P269" i="2"/>
  <c r="O269" i="2"/>
  <c r="N269" i="2"/>
  <c r="M269" i="2"/>
  <c r="L269" i="2"/>
  <c r="Q268" i="2"/>
  <c r="P268" i="2"/>
  <c r="O268" i="2"/>
  <c r="N268" i="2"/>
  <c r="M268" i="2"/>
  <c r="L268" i="2"/>
  <c r="Q267" i="2"/>
  <c r="P267" i="2"/>
  <c r="O267" i="2"/>
  <c r="N267" i="2"/>
  <c r="M267" i="2"/>
  <c r="L267" i="2"/>
  <c r="Q266" i="2"/>
  <c r="P266" i="2"/>
  <c r="O266" i="2"/>
  <c r="N266" i="2"/>
  <c r="M266" i="2"/>
  <c r="L266" i="2"/>
  <c r="Q265" i="2"/>
  <c r="P265" i="2"/>
  <c r="O265" i="2"/>
  <c r="N265" i="2"/>
  <c r="M265" i="2"/>
  <c r="L265" i="2"/>
  <c r="Q264" i="2"/>
  <c r="P264" i="2"/>
  <c r="O264" i="2"/>
  <c r="N264" i="2"/>
  <c r="M264" i="2"/>
  <c r="L264" i="2"/>
  <c r="Q263" i="2"/>
  <c r="P263" i="2"/>
  <c r="O263" i="2"/>
  <c r="N263" i="2"/>
  <c r="M263" i="2"/>
  <c r="L263" i="2"/>
  <c r="Q262" i="2"/>
  <c r="P262" i="2"/>
  <c r="O262" i="2"/>
  <c r="N262" i="2"/>
  <c r="M262" i="2"/>
  <c r="L262" i="2"/>
  <c r="Q261" i="2"/>
  <c r="P261" i="2"/>
  <c r="O261" i="2"/>
  <c r="N261" i="2"/>
  <c r="M261" i="2"/>
  <c r="L261" i="2"/>
  <c r="Q260" i="2"/>
  <c r="P260" i="2"/>
  <c r="O260" i="2"/>
  <c r="N260" i="2"/>
  <c r="M260" i="2"/>
  <c r="L260" i="2"/>
  <c r="Q259" i="2"/>
  <c r="P259" i="2"/>
  <c r="O259" i="2"/>
  <c r="N259" i="2"/>
  <c r="M259" i="2"/>
  <c r="L259" i="2"/>
  <c r="Q258" i="2"/>
  <c r="P258" i="2"/>
  <c r="O258" i="2"/>
  <c r="N258" i="2"/>
  <c r="M258" i="2"/>
  <c r="L258" i="2"/>
  <c r="Q257" i="2"/>
  <c r="P257" i="2"/>
  <c r="O257" i="2"/>
  <c r="N257" i="2"/>
  <c r="M257" i="2"/>
  <c r="L257" i="2"/>
  <c r="Q256" i="2"/>
  <c r="P256" i="2"/>
  <c r="O256" i="2"/>
  <c r="N256" i="2"/>
  <c r="M256" i="2"/>
  <c r="L256" i="2"/>
  <c r="Q255" i="2"/>
  <c r="P255" i="2"/>
  <c r="O255" i="2"/>
  <c r="N255" i="2"/>
  <c r="M255" i="2"/>
  <c r="L255" i="2"/>
  <c r="Q254" i="2"/>
  <c r="P254" i="2"/>
  <c r="O254" i="2"/>
  <c r="N254" i="2"/>
  <c r="M254" i="2"/>
  <c r="L254" i="2"/>
  <c r="Q253" i="2"/>
  <c r="P253" i="2"/>
  <c r="O253" i="2"/>
  <c r="N253" i="2"/>
  <c r="M253" i="2"/>
  <c r="L253" i="2"/>
  <c r="Q252" i="2"/>
  <c r="P252" i="2"/>
  <c r="O252" i="2"/>
  <c r="N252" i="2"/>
  <c r="M252" i="2"/>
  <c r="L252" i="2"/>
  <c r="Q251" i="2"/>
  <c r="P251" i="2"/>
  <c r="O251" i="2"/>
  <c r="N251" i="2"/>
  <c r="M251" i="2"/>
  <c r="L251" i="2"/>
  <c r="Q250" i="2"/>
  <c r="P250" i="2"/>
  <c r="O250" i="2"/>
  <c r="N250" i="2"/>
  <c r="M250" i="2"/>
  <c r="L250" i="2"/>
  <c r="Q249" i="2"/>
  <c r="P249" i="2"/>
  <c r="O249" i="2"/>
  <c r="N249" i="2"/>
  <c r="M249" i="2"/>
  <c r="L249" i="2"/>
  <c r="Q248" i="2"/>
  <c r="P248" i="2"/>
  <c r="O248" i="2"/>
  <c r="N248" i="2"/>
  <c r="M248" i="2"/>
  <c r="L248" i="2"/>
  <c r="Q247" i="2"/>
  <c r="P247" i="2"/>
  <c r="O247" i="2"/>
  <c r="N247" i="2"/>
  <c r="M247" i="2"/>
  <c r="L247" i="2"/>
  <c r="Q246" i="2"/>
  <c r="P246" i="2"/>
  <c r="O246" i="2"/>
  <c r="N246" i="2"/>
  <c r="M246" i="2"/>
  <c r="L246" i="2"/>
  <c r="Q245" i="2"/>
  <c r="P245" i="2"/>
  <c r="O245" i="2"/>
  <c r="N245" i="2"/>
  <c r="M245" i="2"/>
  <c r="L245" i="2"/>
  <c r="Q244" i="2"/>
  <c r="P244" i="2"/>
  <c r="O244" i="2"/>
  <c r="N244" i="2"/>
  <c r="M244" i="2"/>
  <c r="L244" i="2"/>
  <c r="Q243" i="2"/>
  <c r="P243" i="2"/>
  <c r="O243" i="2"/>
  <c r="N243" i="2"/>
  <c r="M243" i="2"/>
  <c r="L243" i="2"/>
  <c r="Q242" i="2"/>
  <c r="P242" i="2"/>
  <c r="O242" i="2"/>
  <c r="N242" i="2"/>
  <c r="M242" i="2"/>
  <c r="L242" i="2"/>
  <c r="Q241" i="2"/>
  <c r="P241" i="2"/>
  <c r="O241" i="2"/>
  <c r="N241" i="2"/>
  <c r="M241" i="2"/>
  <c r="L241" i="2"/>
  <c r="Q240" i="2"/>
  <c r="P240" i="2"/>
  <c r="O240" i="2"/>
  <c r="N240" i="2"/>
  <c r="M240" i="2"/>
  <c r="L240" i="2"/>
  <c r="Q239" i="2"/>
  <c r="P239" i="2"/>
  <c r="O239" i="2"/>
  <c r="N239" i="2"/>
  <c r="M239" i="2"/>
  <c r="L239" i="2"/>
  <c r="Q238" i="2"/>
  <c r="P238" i="2"/>
  <c r="O238" i="2"/>
  <c r="N238" i="2"/>
  <c r="M238" i="2"/>
  <c r="L238" i="2"/>
  <c r="Q237" i="2"/>
  <c r="P237" i="2"/>
  <c r="O237" i="2"/>
  <c r="N237" i="2"/>
  <c r="M237" i="2"/>
  <c r="L237" i="2"/>
  <c r="Q236" i="2"/>
  <c r="P236" i="2"/>
  <c r="O236" i="2"/>
  <c r="N236" i="2"/>
  <c r="M236" i="2"/>
  <c r="L236" i="2"/>
  <c r="Q235" i="2"/>
  <c r="P235" i="2"/>
  <c r="O235" i="2"/>
  <c r="N235" i="2"/>
  <c r="M235" i="2"/>
  <c r="L235" i="2"/>
  <c r="Q234" i="2"/>
  <c r="P234" i="2"/>
  <c r="O234" i="2"/>
  <c r="N234" i="2"/>
  <c r="M234" i="2"/>
  <c r="L234" i="2"/>
  <c r="Q233" i="2"/>
  <c r="P233" i="2"/>
  <c r="O233" i="2"/>
  <c r="N233" i="2"/>
  <c r="M233" i="2"/>
  <c r="L233" i="2"/>
  <c r="Q232" i="2"/>
  <c r="P232" i="2"/>
  <c r="O232" i="2"/>
  <c r="N232" i="2"/>
  <c r="M232" i="2"/>
  <c r="L232" i="2"/>
  <c r="Q231" i="2"/>
  <c r="P231" i="2"/>
  <c r="O231" i="2"/>
  <c r="N231" i="2"/>
  <c r="M231" i="2"/>
  <c r="L231" i="2"/>
  <c r="Q230" i="2"/>
  <c r="P230" i="2"/>
  <c r="O230" i="2"/>
  <c r="N230" i="2"/>
  <c r="M230" i="2"/>
  <c r="L230" i="2"/>
  <c r="Q229" i="2"/>
  <c r="P229" i="2"/>
  <c r="O229" i="2"/>
  <c r="N229" i="2"/>
  <c r="M229" i="2"/>
  <c r="L229" i="2"/>
  <c r="Q228" i="2"/>
  <c r="P228" i="2"/>
  <c r="O228" i="2"/>
  <c r="N228" i="2"/>
  <c r="M228" i="2"/>
  <c r="L228" i="2"/>
  <c r="Q227" i="2"/>
  <c r="P227" i="2"/>
  <c r="O227" i="2"/>
  <c r="N227" i="2"/>
  <c r="M227" i="2"/>
  <c r="L227" i="2"/>
  <c r="Q226" i="2"/>
  <c r="P226" i="2"/>
  <c r="O226" i="2"/>
  <c r="N226" i="2"/>
  <c r="M226" i="2"/>
  <c r="L226" i="2"/>
  <c r="Q225" i="2"/>
  <c r="P225" i="2"/>
  <c r="O225" i="2"/>
  <c r="N225" i="2"/>
  <c r="M225" i="2"/>
  <c r="L225" i="2"/>
  <c r="Q224" i="2"/>
  <c r="P224" i="2"/>
  <c r="O224" i="2"/>
  <c r="N224" i="2"/>
  <c r="M224" i="2"/>
  <c r="L224" i="2"/>
  <c r="Q223" i="2"/>
  <c r="P223" i="2"/>
  <c r="O223" i="2"/>
  <c r="N223" i="2"/>
  <c r="M223" i="2"/>
  <c r="L223" i="2"/>
  <c r="Q222" i="2"/>
  <c r="P222" i="2"/>
  <c r="O222" i="2"/>
  <c r="N222" i="2"/>
  <c r="M222" i="2"/>
  <c r="L222" i="2"/>
  <c r="Q221" i="2"/>
  <c r="P221" i="2"/>
  <c r="O221" i="2"/>
  <c r="N221" i="2"/>
  <c r="M221" i="2"/>
  <c r="L221" i="2"/>
  <c r="Q220" i="2"/>
  <c r="P220" i="2"/>
  <c r="O220" i="2"/>
  <c r="N220" i="2"/>
  <c r="M220" i="2"/>
  <c r="L220" i="2"/>
  <c r="Q219" i="2"/>
  <c r="P219" i="2"/>
  <c r="O219" i="2"/>
  <c r="N219" i="2"/>
  <c r="M219" i="2"/>
  <c r="L219" i="2"/>
  <c r="Q218" i="2"/>
  <c r="P218" i="2"/>
  <c r="O218" i="2"/>
  <c r="N218" i="2"/>
  <c r="M218" i="2"/>
  <c r="L218" i="2"/>
  <c r="Q217" i="2"/>
  <c r="P217" i="2"/>
  <c r="O217" i="2"/>
  <c r="N217" i="2"/>
  <c r="M217" i="2"/>
  <c r="L217" i="2"/>
  <c r="Q216" i="2"/>
  <c r="P216" i="2"/>
  <c r="O216" i="2"/>
  <c r="N216" i="2"/>
  <c r="M216" i="2"/>
  <c r="L216" i="2"/>
  <c r="Q215" i="2"/>
  <c r="P215" i="2"/>
  <c r="O215" i="2"/>
  <c r="N215" i="2"/>
  <c r="M215" i="2"/>
  <c r="L215" i="2"/>
  <c r="Q214" i="2"/>
  <c r="P214" i="2"/>
  <c r="O214" i="2"/>
  <c r="N214" i="2"/>
  <c r="M214" i="2"/>
  <c r="L214" i="2"/>
  <c r="Q213" i="2"/>
  <c r="P213" i="2"/>
  <c r="O213" i="2"/>
  <c r="N213" i="2"/>
  <c r="M213" i="2"/>
  <c r="L213" i="2"/>
  <c r="Q212" i="2"/>
  <c r="P212" i="2"/>
  <c r="O212" i="2"/>
  <c r="N212" i="2"/>
  <c r="M212" i="2"/>
  <c r="L212" i="2"/>
  <c r="Q211" i="2"/>
  <c r="P211" i="2"/>
  <c r="O211" i="2"/>
  <c r="N211" i="2"/>
  <c r="M211" i="2"/>
  <c r="L211" i="2"/>
  <c r="Q210" i="2"/>
  <c r="P210" i="2"/>
  <c r="O210" i="2"/>
  <c r="N210" i="2"/>
  <c r="M210" i="2"/>
  <c r="L210" i="2"/>
  <c r="Q209" i="2"/>
  <c r="P209" i="2"/>
  <c r="O209" i="2"/>
  <c r="N209" i="2"/>
  <c r="M209" i="2"/>
  <c r="L209" i="2"/>
  <c r="Q208" i="2"/>
  <c r="P208" i="2"/>
  <c r="O208" i="2"/>
  <c r="N208" i="2"/>
  <c r="M208" i="2"/>
  <c r="L208" i="2"/>
  <c r="Q207" i="2"/>
  <c r="P207" i="2"/>
  <c r="O207" i="2"/>
  <c r="N207" i="2"/>
  <c r="M207" i="2"/>
  <c r="L207" i="2"/>
  <c r="Q206" i="2"/>
  <c r="P206" i="2"/>
  <c r="O206" i="2"/>
  <c r="N206" i="2"/>
  <c r="M206" i="2"/>
  <c r="L206" i="2"/>
  <c r="Q205" i="2"/>
  <c r="P205" i="2"/>
  <c r="O205" i="2"/>
  <c r="N205" i="2"/>
  <c r="M205" i="2"/>
  <c r="L205" i="2"/>
  <c r="Q204" i="2"/>
  <c r="P204" i="2"/>
  <c r="O204" i="2"/>
  <c r="N204" i="2"/>
  <c r="M204" i="2"/>
  <c r="L204" i="2"/>
  <c r="Q203" i="2"/>
  <c r="P203" i="2"/>
  <c r="O203" i="2"/>
  <c r="N203" i="2"/>
  <c r="M203" i="2"/>
  <c r="L203" i="2"/>
  <c r="Q202" i="2"/>
  <c r="P202" i="2"/>
  <c r="O202" i="2"/>
  <c r="N202" i="2"/>
  <c r="M202" i="2"/>
  <c r="L202" i="2"/>
  <c r="Q201" i="2"/>
  <c r="P201" i="2"/>
  <c r="O201" i="2"/>
  <c r="N201" i="2"/>
  <c r="M201" i="2"/>
  <c r="L201" i="2"/>
  <c r="Q200" i="2"/>
  <c r="P200" i="2"/>
  <c r="O200" i="2"/>
  <c r="N200" i="2"/>
  <c r="M200" i="2"/>
  <c r="L200" i="2"/>
  <c r="Q199" i="2"/>
  <c r="P199" i="2"/>
  <c r="O199" i="2"/>
  <c r="N199" i="2"/>
  <c r="M199" i="2"/>
  <c r="L199" i="2"/>
  <c r="Q198" i="2"/>
  <c r="P198" i="2"/>
  <c r="O198" i="2"/>
  <c r="N198" i="2"/>
  <c r="M198" i="2"/>
  <c r="L198" i="2"/>
  <c r="Q197" i="2"/>
  <c r="P197" i="2"/>
  <c r="O197" i="2"/>
  <c r="N197" i="2"/>
  <c r="M197" i="2"/>
  <c r="L197" i="2"/>
  <c r="Q196" i="2"/>
  <c r="P196" i="2"/>
  <c r="O196" i="2"/>
  <c r="N196" i="2"/>
  <c r="M196" i="2"/>
  <c r="L196" i="2"/>
  <c r="Q195" i="2"/>
  <c r="P195" i="2"/>
  <c r="O195" i="2"/>
  <c r="N195" i="2"/>
  <c r="M195" i="2"/>
  <c r="L195" i="2"/>
  <c r="Q194" i="2"/>
  <c r="P194" i="2"/>
  <c r="O194" i="2"/>
  <c r="N194" i="2"/>
  <c r="M194" i="2"/>
  <c r="L194" i="2"/>
  <c r="Q193" i="2"/>
  <c r="P193" i="2"/>
  <c r="O193" i="2"/>
  <c r="N193" i="2"/>
  <c r="M193" i="2"/>
  <c r="L193" i="2"/>
  <c r="Q192" i="2"/>
  <c r="P192" i="2"/>
  <c r="O192" i="2"/>
  <c r="N192" i="2"/>
  <c r="M192" i="2"/>
  <c r="L192" i="2"/>
  <c r="Q191" i="2"/>
  <c r="P191" i="2"/>
  <c r="O191" i="2"/>
  <c r="N191" i="2"/>
  <c r="M191" i="2"/>
  <c r="L191" i="2"/>
  <c r="Q190" i="2"/>
  <c r="P190" i="2"/>
  <c r="O190" i="2"/>
  <c r="N190" i="2"/>
  <c r="M190" i="2"/>
  <c r="L190" i="2"/>
  <c r="Q189" i="2"/>
  <c r="P189" i="2"/>
  <c r="O189" i="2"/>
  <c r="N189" i="2"/>
  <c r="M189" i="2"/>
  <c r="L189" i="2"/>
  <c r="Q188" i="2"/>
  <c r="P188" i="2"/>
  <c r="O188" i="2"/>
  <c r="N188" i="2"/>
  <c r="M188" i="2"/>
  <c r="L188" i="2"/>
  <c r="Q187" i="2"/>
  <c r="P187" i="2"/>
  <c r="O187" i="2"/>
  <c r="N187" i="2"/>
  <c r="M187" i="2"/>
  <c r="L187" i="2"/>
  <c r="Q186" i="2"/>
  <c r="P186" i="2"/>
  <c r="O186" i="2"/>
  <c r="N186" i="2"/>
  <c r="M186" i="2"/>
  <c r="L186" i="2"/>
  <c r="Q185" i="2"/>
  <c r="P185" i="2"/>
  <c r="O185" i="2"/>
  <c r="N185" i="2"/>
  <c r="M185" i="2"/>
  <c r="L185" i="2"/>
  <c r="Q184" i="2"/>
  <c r="P184" i="2"/>
  <c r="O184" i="2"/>
  <c r="N184" i="2"/>
  <c r="M184" i="2"/>
  <c r="L184" i="2"/>
  <c r="Q183" i="2"/>
  <c r="P183" i="2"/>
  <c r="O183" i="2"/>
  <c r="N183" i="2"/>
  <c r="M183" i="2"/>
  <c r="L183" i="2"/>
  <c r="Q182" i="2"/>
  <c r="P182" i="2"/>
  <c r="O182" i="2"/>
  <c r="N182" i="2"/>
  <c r="M182" i="2"/>
  <c r="L182" i="2"/>
  <c r="Q181" i="2"/>
  <c r="P181" i="2"/>
  <c r="O181" i="2"/>
  <c r="N181" i="2"/>
  <c r="M181" i="2"/>
  <c r="L181" i="2"/>
  <c r="Q180" i="2"/>
  <c r="P180" i="2"/>
  <c r="O180" i="2"/>
  <c r="N180" i="2"/>
  <c r="M180" i="2"/>
  <c r="L180" i="2"/>
  <c r="Q179" i="2"/>
  <c r="P179" i="2"/>
  <c r="O179" i="2"/>
  <c r="N179" i="2"/>
  <c r="M179" i="2"/>
  <c r="L179" i="2"/>
  <c r="Q178" i="2"/>
  <c r="P178" i="2"/>
  <c r="O178" i="2"/>
  <c r="N178" i="2"/>
  <c r="M178" i="2"/>
  <c r="L178" i="2"/>
  <c r="Q177" i="2"/>
  <c r="P177" i="2"/>
  <c r="O177" i="2"/>
  <c r="N177" i="2"/>
  <c r="M177" i="2"/>
  <c r="L177" i="2"/>
  <c r="Q176" i="2"/>
  <c r="P176" i="2"/>
  <c r="O176" i="2"/>
  <c r="N176" i="2"/>
  <c r="M176" i="2"/>
  <c r="L176" i="2"/>
  <c r="Q175" i="2"/>
  <c r="P175" i="2"/>
  <c r="O175" i="2"/>
  <c r="N175" i="2"/>
  <c r="M175" i="2"/>
  <c r="L175" i="2"/>
  <c r="Q174" i="2"/>
  <c r="P174" i="2"/>
  <c r="O174" i="2"/>
  <c r="N174" i="2"/>
  <c r="M174" i="2"/>
  <c r="L174" i="2"/>
  <c r="Q173" i="2"/>
  <c r="P173" i="2"/>
  <c r="O173" i="2"/>
  <c r="N173" i="2"/>
  <c r="M173" i="2"/>
  <c r="L173" i="2"/>
  <c r="Q172" i="2"/>
  <c r="P172" i="2"/>
  <c r="O172" i="2"/>
  <c r="N172" i="2"/>
  <c r="M172" i="2"/>
  <c r="L172" i="2"/>
  <c r="Q171" i="2"/>
  <c r="P171" i="2"/>
  <c r="O171" i="2"/>
  <c r="N171" i="2"/>
  <c r="M171" i="2"/>
  <c r="L171" i="2"/>
  <c r="Q170" i="2"/>
  <c r="P170" i="2"/>
  <c r="O170" i="2"/>
  <c r="N170" i="2"/>
  <c r="M170" i="2"/>
  <c r="L170" i="2"/>
  <c r="Q169" i="2"/>
  <c r="P169" i="2"/>
  <c r="O169" i="2"/>
  <c r="N169" i="2"/>
  <c r="M169" i="2"/>
  <c r="L169" i="2"/>
  <c r="Q168" i="2"/>
  <c r="P168" i="2"/>
  <c r="O168" i="2"/>
  <c r="N168" i="2"/>
  <c r="M168" i="2"/>
  <c r="L168" i="2"/>
  <c r="Q167" i="2"/>
  <c r="P167" i="2"/>
  <c r="O167" i="2"/>
  <c r="N167" i="2"/>
  <c r="M167" i="2"/>
  <c r="L167" i="2"/>
  <c r="Q166" i="2"/>
  <c r="P166" i="2"/>
  <c r="O166" i="2"/>
  <c r="N166" i="2"/>
  <c r="M166" i="2"/>
  <c r="L166" i="2"/>
  <c r="Q165" i="2"/>
  <c r="P165" i="2"/>
  <c r="O165" i="2"/>
  <c r="N165" i="2"/>
  <c r="M165" i="2"/>
  <c r="L165" i="2"/>
  <c r="Q164" i="2"/>
  <c r="P164" i="2"/>
  <c r="O164" i="2"/>
  <c r="N164" i="2"/>
  <c r="M164" i="2"/>
  <c r="L164" i="2"/>
  <c r="Q163" i="2"/>
  <c r="P163" i="2"/>
  <c r="O163" i="2"/>
  <c r="N163" i="2"/>
  <c r="M163" i="2"/>
  <c r="L163" i="2"/>
  <c r="Q162" i="2"/>
  <c r="P162" i="2"/>
  <c r="O162" i="2"/>
  <c r="N162" i="2"/>
  <c r="M162" i="2"/>
  <c r="L162" i="2"/>
  <c r="Q161" i="2"/>
  <c r="P161" i="2"/>
  <c r="O161" i="2"/>
  <c r="N161" i="2"/>
  <c r="M161" i="2"/>
  <c r="L161" i="2"/>
  <c r="Q160" i="2"/>
  <c r="P160" i="2"/>
  <c r="O160" i="2"/>
  <c r="N160" i="2"/>
  <c r="M160" i="2"/>
  <c r="L160" i="2"/>
  <c r="Q159" i="2"/>
  <c r="P159" i="2"/>
  <c r="O159" i="2"/>
  <c r="N159" i="2"/>
  <c r="M159" i="2"/>
  <c r="L159" i="2"/>
  <c r="Q158" i="2"/>
  <c r="P158" i="2"/>
  <c r="O158" i="2"/>
  <c r="N158" i="2"/>
  <c r="M158" i="2"/>
  <c r="L158" i="2"/>
  <c r="Q157" i="2"/>
  <c r="P157" i="2"/>
  <c r="O157" i="2"/>
  <c r="N157" i="2"/>
  <c r="M157" i="2"/>
  <c r="L157" i="2"/>
  <c r="Q156" i="2"/>
  <c r="P156" i="2"/>
  <c r="O156" i="2"/>
  <c r="N156" i="2"/>
  <c r="M156" i="2"/>
  <c r="L156" i="2"/>
  <c r="Q155" i="2"/>
  <c r="P155" i="2"/>
  <c r="O155" i="2"/>
  <c r="N155" i="2"/>
  <c r="M155" i="2"/>
  <c r="L155" i="2"/>
  <c r="Q154" i="2"/>
  <c r="P154" i="2"/>
  <c r="O154" i="2"/>
  <c r="N154" i="2"/>
  <c r="M154" i="2"/>
  <c r="L154" i="2"/>
  <c r="Q153" i="2"/>
  <c r="P153" i="2"/>
  <c r="O153" i="2"/>
  <c r="N153" i="2"/>
  <c r="M153" i="2"/>
  <c r="L153" i="2"/>
  <c r="Q152" i="2"/>
  <c r="P152" i="2"/>
  <c r="O152" i="2"/>
  <c r="N152" i="2"/>
  <c r="M152" i="2"/>
  <c r="L152" i="2"/>
  <c r="Q151" i="2"/>
  <c r="P151" i="2"/>
  <c r="O151" i="2"/>
  <c r="N151" i="2"/>
  <c r="M151" i="2"/>
  <c r="L151" i="2"/>
  <c r="Q150" i="2"/>
  <c r="P150" i="2"/>
  <c r="O150" i="2"/>
  <c r="N150" i="2"/>
  <c r="M150" i="2"/>
  <c r="L150" i="2"/>
  <c r="Q149" i="2"/>
  <c r="P149" i="2"/>
  <c r="O149" i="2"/>
  <c r="N149" i="2"/>
  <c r="M149" i="2"/>
  <c r="L149" i="2"/>
  <c r="Q148" i="2"/>
  <c r="P148" i="2"/>
  <c r="O148" i="2"/>
  <c r="N148" i="2"/>
  <c r="M148" i="2"/>
  <c r="L148" i="2"/>
  <c r="Q147" i="2"/>
  <c r="P147" i="2"/>
  <c r="O147" i="2"/>
  <c r="N147" i="2"/>
  <c r="M147" i="2"/>
  <c r="L147" i="2"/>
  <c r="Q146" i="2"/>
  <c r="P146" i="2"/>
  <c r="O146" i="2"/>
  <c r="N146" i="2"/>
  <c r="M146" i="2"/>
  <c r="L146" i="2"/>
  <c r="Q145" i="2"/>
  <c r="P145" i="2"/>
  <c r="O145" i="2"/>
  <c r="N145" i="2"/>
  <c r="M145" i="2"/>
  <c r="L145" i="2"/>
  <c r="Q144" i="2"/>
  <c r="P144" i="2"/>
  <c r="O144" i="2"/>
  <c r="N144" i="2"/>
  <c r="M144" i="2"/>
  <c r="L144" i="2"/>
  <c r="Q143" i="2"/>
  <c r="P143" i="2"/>
  <c r="O143" i="2"/>
  <c r="N143" i="2"/>
  <c r="M143" i="2"/>
  <c r="L143" i="2"/>
  <c r="Q142" i="2"/>
  <c r="P142" i="2"/>
  <c r="O142" i="2"/>
  <c r="N142" i="2"/>
  <c r="M142" i="2"/>
  <c r="L142" i="2"/>
  <c r="Q141" i="2"/>
  <c r="P141" i="2"/>
  <c r="O141" i="2"/>
  <c r="N141" i="2"/>
  <c r="M141" i="2"/>
  <c r="L141" i="2"/>
  <c r="Q140" i="2"/>
  <c r="P140" i="2"/>
  <c r="O140" i="2"/>
  <c r="N140" i="2"/>
  <c r="M140" i="2"/>
  <c r="L140" i="2"/>
  <c r="Q139" i="2"/>
  <c r="P139" i="2"/>
  <c r="O139" i="2"/>
  <c r="N139" i="2"/>
  <c r="M139" i="2"/>
  <c r="L139" i="2"/>
  <c r="Q138" i="2"/>
  <c r="P138" i="2"/>
  <c r="O138" i="2"/>
  <c r="N138" i="2"/>
  <c r="M138" i="2"/>
  <c r="L138" i="2"/>
  <c r="Q137" i="2"/>
  <c r="P137" i="2"/>
  <c r="O137" i="2"/>
  <c r="N137" i="2"/>
  <c r="M137" i="2"/>
  <c r="L137" i="2"/>
  <c r="Q136" i="2"/>
  <c r="P136" i="2"/>
  <c r="O136" i="2"/>
  <c r="N136" i="2"/>
  <c r="M136" i="2"/>
  <c r="L136" i="2"/>
  <c r="Q135" i="2"/>
  <c r="P135" i="2"/>
  <c r="O135" i="2"/>
  <c r="N135" i="2"/>
  <c r="M135" i="2"/>
  <c r="L135" i="2"/>
  <c r="Q134" i="2"/>
  <c r="P134" i="2"/>
  <c r="O134" i="2"/>
  <c r="N134" i="2"/>
  <c r="M134" i="2"/>
  <c r="L134" i="2"/>
  <c r="Q133" i="2"/>
  <c r="P133" i="2"/>
  <c r="O133" i="2"/>
  <c r="N133" i="2"/>
  <c r="M133" i="2"/>
  <c r="L133" i="2"/>
  <c r="Q132" i="2"/>
  <c r="P132" i="2"/>
  <c r="O132" i="2"/>
  <c r="N132" i="2"/>
  <c r="M132" i="2"/>
  <c r="L132" i="2"/>
  <c r="Q131" i="2"/>
  <c r="P131" i="2"/>
  <c r="O131" i="2"/>
  <c r="N131" i="2"/>
  <c r="M131" i="2"/>
  <c r="L131" i="2"/>
  <c r="Q130" i="2"/>
  <c r="P130" i="2"/>
  <c r="O130" i="2"/>
  <c r="N130" i="2"/>
  <c r="M130" i="2"/>
  <c r="L130" i="2"/>
  <c r="Q129" i="2"/>
  <c r="P129" i="2"/>
  <c r="O129" i="2"/>
  <c r="N129" i="2"/>
  <c r="M129" i="2"/>
  <c r="L129" i="2"/>
  <c r="Q128" i="2"/>
  <c r="P128" i="2"/>
  <c r="O128" i="2"/>
  <c r="N128" i="2"/>
  <c r="M128" i="2"/>
  <c r="L128" i="2"/>
  <c r="Q127" i="2"/>
  <c r="P127" i="2"/>
  <c r="O127" i="2"/>
  <c r="N127" i="2"/>
  <c r="M127" i="2"/>
  <c r="L127" i="2"/>
  <c r="Q126" i="2"/>
  <c r="P126" i="2"/>
  <c r="O126" i="2"/>
  <c r="N126" i="2"/>
  <c r="M126" i="2"/>
  <c r="L126" i="2"/>
  <c r="Q125" i="2"/>
  <c r="P125" i="2"/>
  <c r="O125" i="2"/>
  <c r="N125" i="2"/>
  <c r="M125" i="2"/>
  <c r="L125" i="2"/>
  <c r="Q124" i="2"/>
  <c r="P124" i="2"/>
  <c r="O124" i="2"/>
  <c r="N124" i="2"/>
  <c r="M124" i="2"/>
  <c r="L124" i="2"/>
  <c r="Q123" i="2"/>
  <c r="P123" i="2"/>
  <c r="O123" i="2"/>
  <c r="N123" i="2"/>
  <c r="M123" i="2"/>
  <c r="L123" i="2"/>
  <c r="Q122" i="2"/>
  <c r="P122" i="2"/>
  <c r="O122" i="2"/>
  <c r="N122" i="2"/>
  <c r="M122" i="2"/>
  <c r="L122" i="2"/>
  <c r="Q121" i="2"/>
  <c r="P121" i="2"/>
  <c r="O121" i="2"/>
  <c r="N121" i="2"/>
  <c r="M121" i="2"/>
  <c r="L121" i="2"/>
  <c r="Q120" i="2"/>
  <c r="P120" i="2"/>
  <c r="O120" i="2"/>
  <c r="N120" i="2"/>
  <c r="M120" i="2"/>
  <c r="L120" i="2"/>
  <c r="Q119" i="2"/>
  <c r="P119" i="2"/>
  <c r="O119" i="2"/>
  <c r="N119" i="2"/>
  <c r="M119" i="2"/>
  <c r="L119" i="2"/>
  <c r="Q118" i="2"/>
  <c r="P118" i="2"/>
  <c r="O118" i="2"/>
  <c r="N118" i="2"/>
  <c r="M118" i="2"/>
  <c r="L118" i="2"/>
  <c r="Q117" i="2"/>
  <c r="P117" i="2"/>
  <c r="O117" i="2"/>
  <c r="N117" i="2"/>
  <c r="M117" i="2"/>
  <c r="L117" i="2"/>
  <c r="Q116" i="2"/>
  <c r="P116" i="2"/>
  <c r="O116" i="2"/>
  <c r="N116" i="2"/>
  <c r="M116" i="2"/>
  <c r="L116" i="2"/>
  <c r="Q115" i="2"/>
  <c r="P115" i="2"/>
  <c r="O115" i="2"/>
  <c r="N115" i="2"/>
  <c r="M115" i="2"/>
  <c r="L115" i="2"/>
  <c r="Q114" i="2"/>
  <c r="P114" i="2"/>
  <c r="O114" i="2"/>
  <c r="N114" i="2"/>
  <c r="M114" i="2"/>
  <c r="L114" i="2"/>
  <c r="Q113" i="2"/>
  <c r="P113" i="2"/>
  <c r="O113" i="2"/>
  <c r="N113" i="2"/>
  <c r="M113" i="2"/>
  <c r="L113" i="2"/>
  <c r="Q112" i="2"/>
  <c r="P112" i="2"/>
  <c r="O112" i="2"/>
  <c r="N112" i="2"/>
  <c r="M112" i="2"/>
  <c r="L112" i="2"/>
  <c r="Q111" i="2"/>
  <c r="P111" i="2"/>
  <c r="O111" i="2"/>
  <c r="N111" i="2"/>
  <c r="M111" i="2"/>
  <c r="L111" i="2"/>
  <c r="Q110" i="2"/>
  <c r="P110" i="2"/>
  <c r="O110" i="2"/>
  <c r="N110" i="2"/>
  <c r="M110" i="2"/>
  <c r="L110" i="2"/>
  <c r="Q109" i="2"/>
  <c r="P109" i="2"/>
  <c r="O109" i="2"/>
  <c r="N109" i="2"/>
  <c r="M109" i="2"/>
  <c r="L109" i="2"/>
  <c r="Q108" i="2"/>
  <c r="P108" i="2"/>
  <c r="O108" i="2"/>
  <c r="N108" i="2"/>
  <c r="M108" i="2"/>
  <c r="L108" i="2"/>
  <c r="Q107" i="2"/>
  <c r="P107" i="2"/>
  <c r="O107" i="2"/>
  <c r="N107" i="2"/>
  <c r="M107" i="2"/>
  <c r="L107" i="2"/>
  <c r="Q106" i="2"/>
  <c r="P106" i="2"/>
  <c r="O106" i="2"/>
  <c r="N106" i="2"/>
  <c r="M106" i="2"/>
  <c r="L106" i="2"/>
  <c r="Q105" i="2"/>
  <c r="P105" i="2"/>
  <c r="O105" i="2"/>
  <c r="N105" i="2"/>
  <c r="M105" i="2"/>
  <c r="L105" i="2"/>
  <c r="Q104" i="2"/>
  <c r="P104" i="2"/>
  <c r="O104" i="2"/>
  <c r="N104" i="2"/>
  <c r="M104" i="2"/>
  <c r="L104" i="2"/>
  <c r="Q103" i="2"/>
  <c r="P103" i="2"/>
  <c r="O103" i="2"/>
  <c r="N103" i="2"/>
  <c r="M103" i="2"/>
  <c r="L103" i="2"/>
  <c r="Q102" i="2"/>
  <c r="P102" i="2"/>
  <c r="O102" i="2"/>
  <c r="N102" i="2"/>
  <c r="M102" i="2"/>
  <c r="L102" i="2"/>
  <c r="Q101" i="2"/>
  <c r="P101" i="2"/>
  <c r="O101" i="2"/>
  <c r="N101" i="2"/>
  <c r="M101" i="2"/>
  <c r="L101" i="2"/>
  <c r="Q100" i="2"/>
  <c r="P100" i="2"/>
  <c r="O100" i="2"/>
  <c r="N100" i="2"/>
  <c r="M100" i="2"/>
  <c r="L100" i="2"/>
  <c r="Q99" i="2"/>
  <c r="P99" i="2"/>
  <c r="O99" i="2"/>
  <c r="N99" i="2"/>
  <c r="M99" i="2"/>
  <c r="L99" i="2"/>
  <c r="Q98" i="2"/>
  <c r="P98" i="2"/>
  <c r="O98" i="2"/>
  <c r="N98" i="2"/>
  <c r="M98" i="2"/>
  <c r="L98" i="2"/>
  <c r="Q97" i="2"/>
  <c r="P97" i="2"/>
  <c r="O97" i="2"/>
  <c r="N97" i="2"/>
  <c r="M97" i="2"/>
  <c r="L97" i="2"/>
  <c r="Q96" i="2"/>
  <c r="P96" i="2"/>
  <c r="O96" i="2"/>
  <c r="N96" i="2"/>
  <c r="M96" i="2"/>
  <c r="L96" i="2"/>
  <c r="Q95" i="2"/>
  <c r="P95" i="2"/>
  <c r="O95" i="2"/>
  <c r="N95" i="2"/>
  <c r="M95" i="2"/>
  <c r="L95" i="2"/>
  <c r="Q94" i="2"/>
  <c r="P94" i="2"/>
  <c r="O94" i="2"/>
  <c r="N94" i="2"/>
  <c r="M94" i="2"/>
  <c r="L94" i="2"/>
  <c r="Q93" i="2"/>
  <c r="P93" i="2"/>
  <c r="O93" i="2"/>
  <c r="N93" i="2"/>
  <c r="M93" i="2"/>
  <c r="L93" i="2"/>
  <c r="Q92" i="2"/>
  <c r="P92" i="2"/>
  <c r="O92" i="2"/>
  <c r="N92" i="2"/>
  <c r="M92" i="2"/>
  <c r="L92" i="2"/>
  <c r="Q91" i="2"/>
  <c r="P91" i="2"/>
  <c r="O91" i="2"/>
  <c r="N91" i="2"/>
  <c r="M91" i="2"/>
  <c r="L91" i="2"/>
  <c r="Q90" i="2"/>
  <c r="P90" i="2"/>
  <c r="O90" i="2"/>
  <c r="N90" i="2"/>
  <c r="M90" i="2"/>
  <c r="L90" i="2"/>
  <c r="Q89" i="2"/>
  <c r="P89" i="2"/>
  <c r="O89" i="2"/>
  <c r="N89" i="2"/>
  <c r="M89" i="2"/>
  <c r="L89" i="2"/>
  <c r="Q88" i="2"/>
  <c r="P88" i="2"/>
  <c r="O88" i="2"/>
  <c r="N88" i="2"/>
  <c r="M88" i="2"/>
  <c r="L88" i="2"/>
  <c r="Q87" i="2"/>
  <c r="P87" i="2"/>
  <c r="O87" i="2"/>
  <c r="N87" i="2"/>
  <c r="M87" i="2"/>
  <c r="L87" i="2"/>
  <c r="Q86" i="2"/>
  <c r="P86" i="2"/>
  <c r="O86" i="2"/>
  <c r="N86" i="2"/>
  <c r="M86" i="2"/>
  <c r="L86" i="2"/>
  <c r="Q85" i="2"/>
  <c r="P85" i="2"/>
  <c r="O85" i="2"/>
  <c r="N85" i="2"/>
  <c r="M85" i="2"/>
  <c r="L85" i="2"/>
  <c r="Q84" i="2"/>
  <c r="P84" i="2"/>
  <c r="O84" i="2"/>
  <c r="N84" i="2"/>
  <c r="M84" i="2"/>
  <c r="L84" i="2"/>
  <c r="Q83" i="2"/>
  <c r="P83" i="2"/>
  <c r="O83" i="2"/>
  <c r="N83" i="2"/>
  <c r="M83" i="2"/>
  <c r="L83" i="2"/>
  <c r="Q82" i="2"/>
  <c r="P82" i="2"/>
  <c r="O82" i="2"/>
  <c r="N82" i="2"/>
  <c r="M82" i="2"/>
  <c r="L82" i="2"/>
  <c r="Q81" i="2"/>
  <c r="P81" i="2"/>
  <c r="O81" i="2"/>
  <c r="N81" i="2"/>
  <c r="M81" i="2"/>
  <c r="L81" i="2"/>
  <c r="Q80" i="2"/>
  <c r="P80" i="2"/>
  <c r="O80" i="2"/>
  <c r="N80" i="2"/>
  <c r="M80" i="2"/>
  <c r="L80" i="2"/>
  <c r="Q79" i="2"/>
  <c r="P79" i="2"/>
  <c r="O79" i="2"/>
  <c r="N79" i="2"/>
  <c r="M79" i="2"/>
  <c r="L79" i="2"/>
  <c r="Q78" i="2"/>
  <c r="P78" i="2"/>
  <c r="O78" i="2"/>
  <c r="N78" i="2"/>
  <c r="M78" i="2"/>
  <c r="L78" i="2"/>
  <c r="Q77" i="2"/>
  <c r="P77" i="2"/>
  <c r="O77" i="2"/>
  <c r="N77" i="2"/>
  <c r="M77" i="2"/>
  <c r="L77" i="2"/>
  <c r="Q76" i="2"/>
  <c r="P76" i="2"/>
  <c r="O76" i="2"/>
  <c r="N76" i="2"/>
  <c r="M76" i="2"/>
  <c r="L76" i="2"/>
  <c r="Q75" i="2"/>
  <c r="P75" i="2"/>
  <c r="O75" i="2"/>
  <c r="N75" i="2"/>
  <c r="M75" i="2"/>
  <c r="L75" i="2"/>
  <c r="Q74" i="2"/>
  <c r="P74" i="2"/>
  <c r="O74" i="2"/>
  <c r="N74" i="2"/>
  <c r="M74" i="2"/>
  <c r="L74" i="2"/>
  <c r="Q73" i="2"/>
  <c r="P73" i="2"/>
  <c r="O73" i="2"/>
  <c r="N73" i="2"/>
  <c r="M73" i="2"/>
  <c r="L73" i="2"/>
  <c r="Q72" i="2"/>
  <c r="P72" i="2"/>
  <c r="O72" i="2"/>
  <c r="N72" i="2"/>
  <c r="M72" i="2"/>
  <c r="L72" i="2"/>
  <c r="Q71" i="2"/>
  <c r="P71" i="2"/>
  <c r="O71" i="2"/>
  <c r="N71" i="2"/>
  <c r="M71" i="2"/>
  <c r="L71" i="2"/>
  <c r="Q70" i="2"/>
  <c r="P70" i="2"/>
  <c r="O70" i="2"/>
  <c r="N70" i="2"/>
  <c r="M70" i="2"/>
  <c r="L70" i="2"/>
  <c r="Q69" i="2"/>
  <c r="P69" i="2"/>
  <c r="O69" i="2"/>
  <c r="N69" i="2"/>
  <c r="M69" i="2"/>
  <c r="L69" i="2"/>
  <c r="Q68" i="2"/>
  <c r="P68" i="2"/>
  <c r="O68" i="2"/>
  <c r="N68" i="2"/>
  <c r="M68" i="2"/>
  <c r="L68" i="2"/>
  <c r="Q67" i="2"/>
  <c r="P67" i="2"/>
  <c r="O67" i="2"/>
  <c r="N67" i="2"/>
  <c r="M67" i="2"/>
  <c r="L67" i="2"/>
  <c r="Q66" i="2"/>
  <c r="P66" i="2"/>
  <c r="O66" i="2"/>
  <c r="N66" i="2"/>
  <c r="M66" i="2"/>
  <c r="L66" i="2"/>
  <c r="Q65" i="2"/>
  <c r="P65" i="2"/>
  <c r="O65" i="2"/>
  <c r="N65" i="2"/>
  <c r="M65" i="2"/>
  <c r="L65" i="2"/>
  <c r="Q64" i="2"/>
  <c r="P64" i="2"/>
  <c r="O64" i="2"/>
  <c r="N64" i="2"/>
  <c r="M64" i="2"/>
  <c r="L64" i="2"/>
  <c r="Q63" i="2"/>
  <c r="P63" i="2"/>
  <c r="O63" i="2"/>
  <c r="N63" i="2"/>
  <c r="M63" i="2"/>
  <c r="L63" i="2"/>
  <c r="Q62" i="2"/>
  <c r="P62" i="2"/>
  <c r="O62" i="2"/>
  <c r="N62" i="2"/>
  <c r="M62" i="2"/>
  <c r="L62" i="2"/>
  <c r="Q61" i="2"/>
  <c r="P61" i="2"/>
  <c r="O61" i="2"/>
  <c r="N61" i="2"/>
  <c r="M61" i="2"/>
  <c r="L61" i="2"/>
  <c r="Q60" i="2"/>
  <c r="P60" i="2"/>
  <c r="O60" i="2"/>
  <c r="N60" i="2"/>
  <c r="M60" i="2"/>
  <c r="L60" i="2"/>
  <c r="Q59" i="2"/>
  <c r="P59" i="2"/>
  <c r="O59" i="2"/>
  <c r="N59" i="2"/>
  <c r="M59" i="2"/>
  <c r="L59" i="2"/>
  <c r="Q58" i="2"/>
  <c r="P58" i="2"/>
  <c r="O58" i="2"/>
  <c r="N58" i="2"/>
  <c r="M58" i="2"/>
  <c r="L58" i="2"/>
  <c r="Q57" i="2"/>
  <c r="P57" i="2"/>
  <c r="O57" i="2"/>
  <c r="N57" i="2"/>
  <c r="M57" i="2"/>
  <c r="L57" i="2"/>
  <c r="Q56" i="2"/>
  <c r="P56" i="2"/>
  <c r="O56" i="2"/>
  <c r="N56" i="2"/>
  <c r="M56" i="2"/>
  <c r="L56" i="2"/>
  <c r="Q55" i="2"/>
  <c r="P55" i="2"/>
  <c r="O55" i="2"/>
  <c r="N55" i="2"/>
  <c r="M55" i="2"/>
  <c r="L55" i="2"/>
  <c r="Q54" i="2"/>
  <c r="P54" i="2"/>
  <c r="O54" i="2"/>
  <c r="N54" i="2"/>
  <c r="M54" i="2"/>
  <c r="L54" i="2"/>
  <c r="Q53" i="2"/>
  <c r="P53" i="2"/>
  <c r="O53" i="2"/>
  <c r="N53" i="2"/>
  <c r="M53" i="2"/>
  <c r="L53" i="2"/>
  <c r="Q52" i="2"/>
  <c r="P52" i="2"/>
  <c r="O52" i="2"/>
  <c r="N52" i="2"/>
  <c r="M52" i="2"/>
  <c r="L52" i="2"/>
  <c r="Q51" i="2"/>
  <c r="P51" i="2"/>
  <c r="O51" i="2"/>
  <c r="N51" i="2"/>
  <c r="M51" i="2"/>
  <c r="L51" i="2"/>
  <c r="Q50" i="2"/>
  <c r="P50" i="2"/>
  <c r="O50" i="2"/>
  <c r="N50" i="2"/>
  <c r="M50" i="2"/>
  <c r="L50" i="2"/>
  <c r="Q49" i="2"/>
  <c r="P49" i="2"/>
  <c r="O49" i="2"/>
  <c r="N49" i="2"/>
  <c r="M49" i="2"/>
  <c r="L49" i="2"/>
  <c r="Q48" i="2"/>
  <c r="P48" i="2"/>
  <c r="O48" i="2"/>
  <c r="N48" i="2"/>
  <c r="M48" i="2"/>
  <c r="L48" i="2"/>
  <c r="Q47" i="2"/>
  <c r="P47" i="2"/>
  <c r="O47" i="2"/>
  <c r="N47" i="2"/>
  <c r="M47" i="2"/>
  <c r="L47" i="2"/>
  <c r="Q46" i="2"/>
  <c r="P46" i="2"/>
  <c r="O46" i="2"/>
  <c r="N46" i="2"/>
  <c r="M46" i="2"/>
  <c r="L46" i="2"/>
  <c r="Q45" i="2"/>
  <c r="P45" i="2"/>
  <c r="O45" i="2"/>
  <c r="N45" i="2"/>
  <c r="M45" i="2"/>
  <c r="L45" i="2"/>
  <c r="Q44" i="2"/>
  <c r="P44" i="2"/>
  <c r="O44" i="2"/>
  <c r="N44" i="2"/>
  <c r="M44" i="2"/>
  <c r="L44" i="2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P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37" i="2"/>
  <c r="P37" i="2"/>
  <c r="O37" i="2"/>
  <c r="N37" i="2"/>
  <c r="M37" i="2"/>
  <c r="L37" i="2"/>
  <c r="Q36" i="2"/>
  <c r="P36" i="2"/>
  <c r="O36" i="2"/>
  <c r="N36" i="2"/>
  <c r="M36" i="2"/>
  <c r="L36" i="2"/>
  <c r="Q35" i="2"/>
  <c r="P35" i="2"/>
  <c r="O35" i="2"/>
  <c r="N35" i="2"/>
  <c r="M35" i="2"/>
  <c r="L35" i="2"/>
  <c r="Q34" i="2"/>
  <c r="P34" i="2"/>
  <c r="O34" i="2"/>
  <c r="N34" i="2"/>
  <c r="M34" i="2"/>
  <c r="L34" i="2"/>
  <c r="Q33" i="2"/>
  <c r="P33" i="2"/>
  <c r="O33" i="2"/>
  <c r="N33" i="2"/>
  <c r="M33" i="2"/>
  <c r="L33" i="2"/>
  <c r="Q32" i="2"/>
  <c r="P32" i="2"/>
  <c r="O32" i="2"/>
  <c r="N32" i="2"/>
  <c r="M32" i="2"/>
  <c r="L32" i="2"/>
  <c r="Q31" i="2"/>
  <c r="P31" i="2"/>
  <c r="O31" i="2"/>
  <c r="N31" i="2"/>
  <c r="M31" i="2"/>
  <c r="L31" i="2"/>
  <c r="Q30" i="2"/>
  <c r="P30" i="2"/>
  <c r="O30" i="2"/>
  <c r="N30" i="2"/>
  <c r="M30" i="2"/>
  <c r="L30" i="2"/>
  <c r="Q29" i="2"/>
  <c r="P29" i="2"/>
  <c r="O29" i="2"/>
  <c r="N29" i="2"/>
  <c r="M29" i="2"/>
  <c r="L29" i="2"/>
  <c r="Q28" i="2"/>
  <c r="P28" i="2"/>
  <c r="O28" i="2"/>
  <c r="N28" i="2"/>
  <c r="M28" i="2"/>
  <c r="L28" i="2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Q4" i="2"/>
  <c r="P4" i="2"/>
  <c r="O4" i="2"/>
  <c r="N4" i="2"/>
  <c r="M4" i="2"/>
  <c r="L4" i="2"/>
  <c r="Q3" i="2"/>
  <c r="P3" i="2"/>
  <c r="O3" i="2"/>
  <c r="N3" i="2"/>
  <c r="M3" i="2"/>
  <c r="L3" i="2"/>
  <c r="Q2" i="2"/>
  <c r="P2" i="2"/>
  <c r="O2" i="2"/>
  <c r="N2" i="2"/>
  <c r="M2" i="2"/>
  <c r="L2" i="2"/>
  <c r="AP807" i="6" l="1"/>
  <c r="AP818" i="6"/>
  <c r="AP252" i="6"/>
  <c r="AP935" i="6"/>
  <c r="AP676" i="6"/>
  <c r="AP449" i="6"/>
  <c r="AP815" i="6"/>
  <c r="AP692" i="6"/>
  <c r="AP109" i="6"/>
  <c r="AP741" i="6"/>
  <c r="AP21" i="6"/>
  <c r="AP290" i="6"/>
  <c r="AP934" i="6"/>
  <c r="AP799" i="6"/>
  <c r="O2" i="6"/>
  <c r="AP808" i="6"/>
  <c r="AP884" i="6"/>
  <c r="AP871" i="6"/>
  <c r="AP289" i="6"/>
  <c r="AP131" i="6"/>
  <c r="AP74" i="6"/>
  <c r="AP846" i="6"/>
  <c r="AP556" i="6"/>
  <c r="AP772" i="6"/>
  <c r="AP573" i="6"/>
  <c r="AP472" i="6"/>
  <c r="AP711" i="6"/>
  <c r="AP423" i="6"/>
  <c r="AP135" i="6"/>
  <c r="O10" i="6"/>
  <c r="O12" i="6"/>
  <c r="O11" i="6"/>
  <c r="AP431" i="6"/>
  <c r="O13" i="6"/>
  <c r="O8" i="6"/>
  <c r="AP198" i="6"/>
  <c r="AP765" i="6"/>
  <c r="AP557" i="6"/>
  <c r="AP5" i="6"/>
  <c r="AP224" i="6"/>
  <c r="AP678" i="6"/>
  <c r="AP600" i="6"/>
  <c r="AP603" i="6"/>
  <c r="AP791" i="6"/>
  <c r="AP806" i="6"/>
  <c r="AP240" i="6"/>
  <c r="AP69" i="6"/>
  <c r="AP961" i="6"/>
  <c r="AP712" i="6"/>
  <c r="AP774" i="6"/>
  <c r="AP54" i="6"/>
  <c r="AP757" i="6"/>
  <c r="AP544" i="6"/>
  <c r="AP831" i="6"/>
  <c r="AP872" i="6"/>
  <c r="AP626" i="6"/>
  <c r="AP208" i="6"/>
  <c r="AP954" i="6"/>
  <c r="AP52" i="6"/>
  <c r="AP990" i="6"/>
  <c r="AP359" i="6"/>
  <c r="AP71" i="6"/>
  <c r="AP940" i="6"/>
  <c r="AP89" i="6"/>
  <c r="AP653" i="6"/>
  <c r="AP997" i="6"/>
  <c r="AP674" i="6"/>
  <c r="AP917" i="6"/>
  <c r="AP219" i="6"/>
  <c r="AP908" i="6"/>
  <c r="AP344" i="6"/>
  <c r="AF33" i="6"/>
  <c r="AF177" i="6"/>
  <c r="AF226" i="6"/>
  <c r="AP163" i="6"/>
  <c r="AP608" i="6"/>
  <c r="AP1001" i="6"/>
  <c r="AP151" i="6"/>
  <c r="AP882" i="6"/>
  <c r="AP418" i="6"/>
  <c r="AP377" i="6"/>
  <c r="AP970" i="6"/>
  <c r="AP875" i="6"/>
  <c r="AP968" i="6"/>
  <c r="AP659" i="6"/>
  <c r="AP284" i="6"/>
  <c r="AF69" i="6"/>
  <c r="AF213" i="6"/>
  <c r="AP959" i="6"/>
  <c r="H25" i="5"/>
  <c r="H167" i="5"/>
  <c r="H121" i="5"/>
  <c r="H155" i="5"/>
  <c r="H143" i="5"/>
  <c r="H139" i="5"/>
  <c r="H93" i="5"/>
  <c r="H53" i="5"/>
  <c r="H99" i="5"/>
  <c r="H87" i="5"/>
  <c r="H109" i="5"/>
  <c r="H127" i="5"/>
  <c r="H105" i="5"/>
  <c r="H59" i="5"/>
  <c r="H161" i="5"/>
  <c r="H75" i="5"/>
  <c r="H47" i="5"/>
  <c r="H149" i="5"/>
  <c r="H133" i="5"/>
  <c r="H65" i="5"/>
  <c r="H41" i="5"/>
  <c r="H115" i="5"/>
  <c r="H71" i="5"/>
  <c r="H37" i="5"/>
  <c r="H81" i="5"/>
  <c r="AP733" i="6"/>
  <c r="AP206" i="6"/>
  <c r="AP1022" i="6"/>
  <c r="AP186" i="6"/>
  <c r="AP596" i="6"/>
  <c r="AP941" i="6"/>
  <c r="AP357" i="6"/>
  <c r="AP280" i="6"/>
  <c r="AP709" i="6"/>
  <c r="AP921" i="6"/>
  <c r="AP819" i="6"/>
  <c r="AP874" i="6"/>
  <c r="AP943" i="6"/>
  <c r="AP351" i="6"/>
  <c r="AP1021" i="6"/>
  <c r="AP476" i="6"/>
  <c r="AP864" i="6"/>
  <c r="AP383" i="6"/>
  <c r="AP883" i="6"/>
  <c r="AP599" i="6"/>
  <c r="AP594" i="6"/>
  <c r="AP306" i="6"/>
  <c r="AP279" i="6"/>
  <c r="AP677" i="6"/>
  <c r="AP139" i="6"/>
  <c r="AP112" i="6"/>
  <c r="AP555" i="6"/>
  <c r="AP267" i="6"/>
  <c r="AP652" i="6"/>
  <c r="AP161" i="6"/>
  <c r="AP204" i="6"/>
  <c r="AP795" i="6"/>
  <c r="AP507" i="6"/>
  <c r="AP701" i="6"/>
  <c r="AP10" i="6"/>
  <c r="AP233" i="6"/>
  <c r="AP243" i="6"/>
  <c r="AP767" i="6"/>
  <c r="AP467" i="6"/>
  <c r="AP522" i="6"/>
  <c r="AP90" i="6"/>
  <c r="AP389" i="6"/>
  <c r="AP523" i="6"/>
  <c r="AP513" i="6"/>
  <c r="AP462" i="6"/>
  <c r="AP178" i="6"/>
  <c r="AP380" i="6"/>
  <c r="AP92" i="6"/>
  <c r="AP985" i="6"/>
  <c r="AP165" i="6"/>
  <c r="AP578" i="6"/>
  <c r="AP406" i="6"/>
  <c r="AP176" i="6"/>
  <c r="AP16" i="6"/>
  <c r="AP854" i="6"/>
  <c r="AP538" i="6"/>
  <c r="AP474" i="6"/>
  <c r="AP623" i="6"/>
  <c r="AP110" i="6"/>
  <c r="AP408" i="6"/>
  <c r="AF238" i="6"/>
  <c r="AP642" i="6"/>
  <c r="AP982" i="6"/>
  <c r="AP595" i="6"/>
  <c r="AF45" i="6"/>
  <c r="AF189" i="6"/>
  <c r="AP704" i="6"/>
  <c r="AP466" i="6"/>
  <c r="AP944" i="6"/>
  <c r="AP419" i="6"/>
  <c r="AP856" i="6"/>
  <c r="AP994" i="6"/>
  <c r="AP432" i="6"/>
  <c r="AP1007" i="6"/>
  <c r="AP622" i="6"/>
  <c r="AP46" i="6"/>
  <c r="AP489" i="6"/>
  <c r="AP345" i="6"/>
  <c r="AP57" i="6"/>
  <c r="AP433" i="6"/>
  <c r="AP743" i="6"/>
  <c r="AP189" i="6"/>
  <c r="AP951" i="6"/>
  <c r="AP348" i="6"/>
  <c r="AP745" i="6"/>
  <c r="AP729" i="6"/>
  <c r="AP153" i="6"/>
  <c r="AP771" i="6"/>
  <c r="AP627" i="6"/>
  <c r="AP613" i="6"/>
  <c r="AP752" i="6"/>
  <c r="AP343" i="6"/>
  <c r="AP615" i="6"/>
  <c r="AP725" i="6"/>
  <c r="AP993" i="6"/>
  <c r="AP705" i="6"/>
  <c r="AP907" i="6"/>
  <c r="AP475" i="6"/>
  <c r="AP1019" i="6"/>
  <c r="AP210" i="6"/>
  <c r="AP488" i="6"/>
  <c r="AP250" i="6"/>
  <c r="AP452" i="6"/>
  <c r="AP319" i="6"/>
  <c r="AP776" i="6"/>
  <c r="AP777" i="6"/>
  <c r="AP633" i="6"/>
  <c r="AP458" i="6"/>
  <c r="AP314" i="6"/>
  <c r="AP26" i="6"/>
  <c r="AP180" i="6"/>
  <c r="AP1005" i="6"/>
  <c r="AP354" i="6"/>
  <c r="AP781" i="6"/>
  <c r="AF58" i="6"/>
  <c r="AP437" i="6"/>
  <c r="AF32" i="6"/>
  <c r="AP480" i="6"/>
  <c r="AP886" i="6"/>
  <c r="AP816" i="6"/>
  <c r="AP778" i="6"/>
  <c r="AP581" i="6"/>
  <c r="AP928" i="6"/>
  <c r="AP644" i="6"/>
  <c r="AP455" i="6"/>
  <c r="AP311" i="6"/>
  <c r="AP247" i="6"/>
  <c r="AP103" i="6"/>
  <c r="AP445" i="6"/>
  <c r="AP25" i="6"/>
  <c r="AP1000" i="6"/>
  <c r="AP353" i="6"/>
  <c r="AP1013" i="6"/>
  <c r="AP719" i="6"/>
  <c r="AP158" i="6"/>
  <c r="AP850" i="6"/>
  <c r="AP44" i="6"/>
  <c r="W55" i="6"/>
  <c r="AP221" i="6"/>
  <c r="AP24" i="6"/>
  <c r="AP156" i="6"/>
  <c r="AP27" i="6"/>
  <c r="AP493" i="6"/>
  <c r="AP693" i="6"/>
  <c r="AF116" i="6"/>
  <c r="AP845" i="6"/>
  <c r="AP36" i="6"/>
  <c r="AP188" i="6"/>
  <c r="AP385" i="6"/>
  <c r="AP785" i="6"/>
  <c r="AP515" i="6"/>
  <c r="AP552" i="6"/>
  <c r="AP727" i="6"/>
  <c r="H19" i="5"/>
  <c r="AP245" i="6"/>
  <c r="AP401" i="6"/>
  <c r="AP526" i="6"/>
  <c r="AP94" i="6"/>
  <c r="AP537" i="6"/>
  <c r="AP440" i="6"/>
  <c r="AP1011" i="6"/>
  <c r="AP317" i="6"/>
  <c r="AP665" i="6"/>
  <c r="AP658" i="6"/>
  <c r="AP226" i="6"/>
  <c r="AP813" i="6"/>
  <c r="AP525" i="6"/>
  <c r="AP381" i="6"/>
  <c r="AP237" i="6"/>
  <c r="AP93" i="6"/>
  <c r="AP575" i="6"/>
  <c r="AP589" i="6"/>
  <c r="AP945" i="6"/>
  <c r="AP801" i="6"/>
  <c r="AP283" i="6"/>
  <c r="AP1014" i="6"/>
  <c r="AP726" i="6"/>
  <c r="AP582" i="6"/>
  <c r="H13" i="5"/>
  <c r="H7" i="5"/>
  <c r="AP323" i="6"/>
  <c r="AP248" i="6"/>
  <c r="AP403" i="6"/>
  <c r="AP259" i="6"/>
  <c r="AP702" i="6"/>
  <c r="AP212" i="6"/>
  <c r="AP349" i="6"/>
  <c r="AP413" i="6"/>
  <c r="AP421" i="6"/>
  <c r="AP827" i="6"/>
  <c r="AP817" i="6"/>
  <c r="AP565" i="6"/>
  <c r="AP422" i="6"/>
  <c r="AP278" i="6"/>
  <c r="AP549" i="6"/>
  <c r="AP447" i="6"/>
  <c r="AP159" i="6"/>
  <c r="H3" i="5"/>
  <c r="AP593" i="6"/>
  <c r="AP696" i="6"/>
  <c r="AP268" i="6"/>
  <c r="AP540" i="6"/>
  <c r="AP347" i="6"/>
  <c r="AP502" i="6"/>
  <c r="AP870" i="6"/>
  <c r="AP150" i="6"/>
  <c r="AP6" i="6"/>
  <c r="AP256" i="6"/>
  <c r="AP411" i="6"/>
  <c r="AP123" i="6"/>
  <c r="AP227" i="6"/>
  <c r="AP382" i="6"/>
  <c r="AP58" i="6"/>
  <c r="AP847" i="6"/>
  <c r="AP703" i="6"/>
  <c r="AP694" i="6"/>
  <c r="AP536" i="6"/>
  <c r="AP107" i="6"/>
  <c r="AP125" i="6"/>
  <c r="AP133" i="6"/>
  <c r="AP270" i="6"/>
  <c r="AP880" i="6"/>
  <c r="AP967" i="6"/>
  <c r="H31" i="5"/>
  <c r="AP830" i="6"/>
  <c r="AP295" i="6"/>
  <c r="AP412" i="6"/>
  <c r="AP124" i="6"/>
  <c r="AP509" i="6"/>
  <c r="AP457" i="6"/>
  <c r="AP335" i="6"/>
  <c r="AP47" i="6"/>
  <c r="AP933" i="6"/>
  <c r="AP404" i="6"/>
  <c r="AP260" i="6"/>
  <c r="AP116" i="6"/>
  <c r="AP271" i="6"/>
  <c r="AP426" i="6"/>
  <c r="AP138" i="6"/>
  <c r="AP111" i="6"/>
  <c r="AP937" i="6"/>
  <c r="AP269" i="6"/>
  <c r="AP976" i="6"/>
  <c r="AP598" i="6"/>
  <c r="AP166" i="6"/>
  <c r="AP22" i="6"/>
  <c r="AP465" i="6"/>
  <c r="AP177" i="6"/>
  <c r="AP33" i="6"/>
  <c r="AP822" i="6"/>
  <c r="AP534" i="6"/>
  <c r="AP477" i="6"/>
  <c r="AP373" i="6"/>
  <c r="AP341" i="6"/>
  <c r="AP77" i="6"/>
  <c r="AP797" i="6"/>
  <c r="AP688" i="6"/>
  <c r="AP38" i="6"/>
  <c r="AP597" i="6"/>
  <c r="AP639" i="6"/>
  <c r="AP200" i="6"/>
  <c r="AP366" i="6"/>
  <c r="AP49" i="6"/>
  <c r="AP468" i="6"/>
  <c r="AP697" i="6"/>
  <c r="AP734" i="6"/>
  <c r="AP590" i="6"/>
  <c r="AP744" i="6"/>
  <c r="AP168" i="6"/>
  <c r="AP407" i="6"/>
  <c r="AP263" i="6"/>
  <c r="AP119" i="6"/>
  <c r="AP631" i="6"/>
  <c r="AP604" i="6"/>
  <c r="AP325" i="6"/>
  <c r="AP257" i="6"/>
  <c r="AP126" i="6"/>
  <c r="AP602" i="6"/>
  <c r="AP787" i="6"/>
  <c r="AP915" i="6"/>
  <c r="AP721" i="6"/>
  <c r="AP337" i="6"/>
  <c r="AP533" i="6"/>
  <c r="AP751" i="6"/>
  <c r="AP735" i="6"/>
  <c r="AP605" i="6"/>
  <c r="AP814" i="6"/>
  <c r="AP105" i="6"/>
  <c r="AP790" i="6"/>
  <c r="AP826" i="6"/>
  <c r="AP899" i="6"/>
  <c r="AP804" i="6"/>
  <c r="AP691" i="6"/>
  <c r="AP893" i="6"/>
  <c r="AP936" i="6"/>
  <c r="AP333" i="6"/>
  <c r="AP87" i="6"/>
  <c r="AP29" i="6"/>
  <c r="AP481" i="6"/>
  <c r="AP274" i="6"/>
  <c r="AP327" i="6"/>
  <c r="AP183" i="6"/>
  <c r="AF92" i="6"/>
  <c r="AF236" i="6"/>
  <c r="AF153" i="6"/>
  <c r="AP952" i="6"/>
  <c r="AP276" i="6"/>
  <c r="AP539" i="6"/>
  <c r="AP969" i="6"/>
  <c r="AP579" i="6"/>
  <c r="AP1008" i="6"/>
  <c r="AP812" i="6"/>
  <c r="AP802" i="6"/>
  <c r="AP1015" i="6"/>
  <c r="AF140" i="6"/>
  <c r="AP203" i="6"/>
  <c r="AP662" i="6"/>
  <c r="AP490" i="6"/>
  <c r="AP100" i="6"/>
  <c r="AP975" i="6"/>
  <c r="AP687" i="6"/>
  <c r="AP399" i="6"/>
  <c r="AP649" i="6"/>
  <c r="AP553" i="6"/>
  <c r="AP616" i="6"/>
  <c r="AP860" i="6"/>
  <c r="AP516" i="6"/>
  <c r="AP372" i="6"/>
  <c r="AP84" i="6"/>
  <c r="AP201" i="6"/>
  <c r="AP547" i="6"/>
  <c r="AP115" i="6"/>
  <c r="AP532" i="6"/>
  <c r="AP761" i="6"/>
  <c r="AP216" i="6"/>
  <c r="AP610" i="6"/>
  <c r="AP679" i="6"/>
  <c r="AP978" i="6"/>
  <c r="AP402" i="6"/>
  <c r="AP258" i="6"/>
  <c r="AP747" i="6"/>
  <c r="AP338" i="6"/>
  <c r="AP924" i="6"/>
  <c r="AP992" i="6"/>
  <c r="AP829" i="6"/>
  <c r="AP470" i="6"/>
  <c r="AP336" i="6"/>
  <c r="AP48" i="6"/>
  <c r="AP287" i="6"/>
  <c r="AP143" i="6"/>
  <c r="AP885" i="6"/>
  <c r="AP196" i="6"/>
  <c r="AP783" i="6"/>
  <c r="AP63" i="6"/>
  <c r="AP50" i="6"/>
  <c r="AP955" i="6"/>
  <c r="AP352" i="6"/>
  <c r="AP181" i="6"/>
  <c r="AP113" i="6"/>
  <c r="AP890" i="6"/>
  <c r="AP746" i="6"/>
  <c r="AP900" i="6"/>
  <c r="AP1018" i="6"/>
  <c r="AP286" i="6"/>
  <c r="AP484" i="6"/>
  <c r="AP861" i="6"/>
  <c r="AP55" i="6"/>
  <c r="AP241" i="6"/>
  <c r="AP572" i="6"/>
  <c r="AP174" i="6"/>
  <c r="W36" i="6"/>
  <c r="W61" i="6"/>
  <c r="AP365" i="6"/>
  <c r="AP865" i="6"/>
  <c r="AP842" i="6"/>
  <c r="AP266" i="6"/>
  <c r="AP420" i="6"/>
  <c r="AP152" i="6"/>
  <c r="AP739" i="6"/>
  <c r="AP307" i="6"/>
  <c r="AP750" i="6"/>
  <c r="AP606" i="6"/>
  <c r="AP435" i="6"/>
  <c r="AP291" i="6"/>
  <c r="AP521" i="6"/>
  <c r="AP625" i="6"/>
  <c r="AP217" i="6"/>
  <c r="AP974" i="6"/>
  <c r="AP542" i="6"/>
  <c r="AP264" i="6"/>
  <c r="AP527" i="6"/>
  <c r="AP946" i="6"/>
  <c r="AP669" i="6"/>
  <c r="AP428" i="6"/>
  <c r="AP140" i="6"/>
  <c r="AP439" i="6"/>
  <c r="AP855" i="6"/>
  <c r="AP567" i="6"/>
  <c r="W44" i="6"/>
  <c r="AP979" i="6"/>
  <c r="AF12" i="6"/>
  <c r="AF217" i="6"/>
  <c r="AF148" i="6"/>
  <c r="AF187" i="6"/>
  <c r="AP707" i="6"/>
  <c r="AP713" i="6"/>
  <c r="AP137" i="6"/>
  <c r="AF94" i="6"/>
  <c r="AP628" i="6"/>
  <c r="AP898" i="6"/>
  <c r="AP519" i="6"/>
  <c r="AP157" i="6"/>
  <c r="AP977" i="6"/>
  <c r="AP820" i="6"/>
  <c r="AP629" i="6"/>
  <c r="AP368" i="6"/>
  <c r="AP966" i="6"/>
  <c r="AP877" i="6"/>
  <c r="AP356" i="6"/>
  <c r="AP68" i="6"/>
  <c r="AP496" i="6"/>
  <c r="AP927" i="6"/>
  <c r="AP1012" i="6"/>
  <c r="AP756" i="6"/>
  <c r="AP612" i="6"/>
  <c r="AP585" i="6"/>
  <c r="AP211" i="6"/>
  <c r="AP67" i="6"/>
  <c r="AP942" i="6"/>
  <c r="AP222" i="6"/>
  <c r="W13" i="6"/>
  <c r="AP1006" i="6"/>
  <c r="W25" i="6"/>
  <c r="W50" i="6"/>
  <c r="W27" i="6"/>
  <c r="AP925" i="6"/>
  <c r="AP755" i="6"/>
  <c r="AP409" i="6"/>
  <c r="AP500" i="6"/>
  <c r="AP95" i="6"/>
  <c r="AP308" i="6"/>
  <c r="AP4" i="6"/>
  <c r="AF15" i="6"/>
  <c r="AF128" i="6"/>
  <c r="W31" i="6"/>
  <c r="O17" i="6"/>
  <c r="AF57" i="6"/>
  <c r="AF201" i="6"/>
  <c r="AF120" i="6"/>
  <c r="W34" i="6"/>
  <c r="O14" i="6"/>
  <c r="AP670" i="6"/>
  <c r="AP984" i="6"/>
  <c r="AP400" i="6"/>
  <c r="AF8" i="6"/>
  <c r="AF152" i="6"/>
  <c r="AP620" i="6"/>
  <c r="AP844" i="6"/>
  <c r="AP587" i="6"/>
  <c r="AP647" i="6"/>
  <c r="AP53" i="6"/>
  <c r="AP680" i="6"/>
  <c r="AP61" i="6"/>
  <c r="AP1024" i="6"/>
  <c r="AP685" i="6"/>
  <c r="AP293" i="6"/>
  <c r="AP230" i="6"/>
  <c r="AP960" i="6"/>
  <c r="AP672" i="6"/>
  <c r="AP96" i="6"/>
  <c r="AP491" i="6"/>
  <c r="AP202" i="6"/>
  <c r="AP789" i="6"/>
  <c r="AP501" i="6"/>
  <c r="AP714" i="6"/>
  <c r="AP282" i="6"/>
  <c r="AP388" i="6"/>
  <c r="AP244" i="6"/>
  <c r="AP255" i="6"/>
  <c r="AP479" i="6"/>
  <c r="AP190" i="6"/>
  <c r="W16" i="6"/>
  <c r="AP104" i="6"/>
  <c r="AP531" i="6"/>
  <c r="AP782" i="6"/>
  <c r="AP754" i="6"/>
  <c r="AP909" i="6"/>
  <c r="AP391" i="6"/>
  <c r="AF117" i="6"/>
  <c r="AP548" i="6"/>
  <c r="AP738" i="6"/>
  <c r="AP999" i="6"/>
  <c r="AP37" i="6"/>
  <c r="AP609" i="6"/>
  <c r="AP246" i="6"/>
  <c r="AP102" i="6"/>
  <c r="AP640" i="6"/>
  <c r="AP41" i="6"/>
  <c r="AP326" i="6"/>
  <c r="AP192" i="6"/>
  <c r="AP309" i="6"/>
  <c r="AP655" i="6"/>
  <c r="AP666" i="6"/>
  <c r="AP340" i="6"/>
  <c r="AP207" i="6"/>
  <c r="AP170" i="6"/>
  <c r="AP324" i="6"/>
  <c r="AP873" i="6"/>
  <c r="AP654" i="6"/>
  <c r="AP184" i="6"/>
  <c r="AF224" i="6"/>
  <c r="AF166" i="6"/>
  <c r="W38" i="6"/>
  <c r="AP965" i="6"/>
  <c r="AP253" i="6"/>
  <c r="AP185" i="6"/>
  <c r="AP920" i="6"/>
  <c r="AP853" i="6"/>
  <c r="AP73" i="6"/>
  <c r="AP425" i="6"/>
  <c r="AP14" i="6"/>
  <c r="AP312" i="6"/>
  <c r="AP429" i="6"/>
  <c r="AP775" i="6"/>
  <c r="AP316" i="6"/>
  <c r="AP172" i="6"/>
  <c r="AP28" i="6"/>
  <c r="AP759" i="6"/>
  <c r="AP39" i="6"/>
  <c r="O9" i="6"/>
  <c r="AP101" i="6"/>
  <c r="AP700" i="6"/>
  <c r="AP469" i="6"/>
  <c r="AP923" i="6"/>
  <c r="AP863" i="6"/>
  <c r="AP524" i="6"/>
  <c r="AP973" i="6"/>
  <c r="AP876" i="6"/>
  <c r="AP444" i="6"/>
  <c r="AP550" i="6"/>
  <c r="AP118" i="6"/>
  <c r="AP561" i="6"/>
  <c r="AP417" i="6"/>
  <c r="AP273" i="6"/>
  <c r="AP129" i="6"/>
  <c r="AP464" i="6"/>
  <c r="AP331" i="6"/>
  <c r="AP630" i="6"/>
  <c r="AP460" i="6"/>
  <c r="AP459" i="6"/>
  <c r="AP315" i="6"/>
  <c r="AP171" i="6"/>
  <c r="W17" i="6"/>
  <c r="AF20" i="6"/>
  <c r="AF164" i="6"/>
  <c r="AF81" i="6"/>
  <c r="AF225" i="6"/>
  <c r="AF22" i="6"/>
  <c r="W62" i="6"/>
  <c r="W4" i="6"/>
  <c r="O7" i="6"/>
  <c r="AF93" i="6"/>
  <c r="AF237" i="6"/>
  <c r="AF137" i="6"/>
  <c r="W19" i="6"/>
  <c r="O6" i="6"/>
  <c r="AP896" i="6"/>
  <c r="AP648" i="6"/>
  <c r="AP45" i="6"/>
  <c r="AP690" i="6"/>
  <c r="AP546" i="6"/>
  <c r="AP375" i="6"/>
  <c r="AF188" i="6"/>
  <c r="O3" i="6"/>
  <c r="AP956" i="6"/>
  <c r="AP742" i="6"/>
  <c r="AP80" i="6"/>
  <c r="AF56" i="6"/>
  <c r="W8" i="6"/>
  <c r="W40" i="6"/>
  <c r="W32" i="6"/>
  <c r="O15" i="6"/>
  <c r="AP1009" i="6"/>
  <c r="AP758" i="6"/>
  <c r="AP768" i="6"/>
  <c r="AP624" i="6"/>
  <c r="AP730" i="6"/>
  <c r="AP298" i="6"/>
  <c r="AP511" i="6"/>
  <c r="AP367" i="6"/>
  <c r="AP223" i="6"/>
  <c r="AP79" i="6"/>
  <c r="AP378" i="6"/>
  <c r="AF212" i="6"/>
  <c r="W26" i="6"/>
  <c r="W29" i="6"/>
  <c r="AP614" i="6"/>
  <c r="AP182" i="6"/>
  <c r="AP577" i="6"/>
  <c r="AP824" i="6"/>
  <c r="AP892" i="6"/>
  <c r="AP275" i="6"/>
  <c r="AP862" i="6"/>
  <c r="O4" i="6"/>
  <c r="AP878" i="6"/>
  <c r="AP706" i="6"/>
  <c r="AP562" i="6"/>
  <c r="AP285" i="6"/>
  <c r="AP487" i="6"/>
  <c r="AP199" i="6"/>
  <c r="AP903" i="6"/>
  <c r="AF70" i="6"/>
  <c r="W18" i="6"/>
  <c r="W33" i="6"/>
  <c r="W23" i="6"/>
  <c r="O16" i="6"/>
  <c r="AP584" i="6"/>
  <c r="AP11" i="6"/>
  <c r="AP916" i="6"/>
  <c r="AP281" i="6"/>
  <c r="AP949" i="6"/>
  <c r="AP146" i="6"/>
  <c r="AF248" i="6"/>
  <c r="AF165" i="6"/>
  <c r="AF202" i="6"/>
  <c r="W39" i="6"/>
  <c r="AP661" i="6"/>
  <c r="AP299" i="6"/>
  <c r="AP453" i="6"/>
  <c r="AP173" i="6"/>
  <c r="AP560" i="6"/>
  <c r="AP149" i="6"/>
  <c r="AP305" i="6"/>
  <c r="AP397" i="6"/>
  <c r="AP911" i="6"/>
  <c r="AP568" i="6"/>
  <c r="AP913" i="6"/>
  <c r="AP889" i="6"/>
  <c r="AP998" i="6"/>
  <c r="AP288" i="6"/>
  <c r="AP551" i="6"/>
  <c r="AP682" i="6"/>
  <c r="AP394" i="6"/>
  <c r="AP106" i="6"/>
  <c r="AP261" i="6"/>
  <c r="AP164" i="6"/>
  <c r="AP607" i="6"/>
  <c r="AP463" i="6"/>
  <c r="AP906" i="6"/>
  <c r="AP762" i="6"/>
  <c r="AP330" i="6"/>
  <c r="AP148" i="6"/>
  <c r="AP879" i="6"/>
  <c r="AF159" i="6"/>
  <c r="W24" i="6"/>
  <c r="O5" i="6"/>
  <c r="AP796" i="6"/>
  <c r="AP912" i="6"/>
  <c r="AP154" i="6"/>
  <c r="AP810" i="6"/>
  <c r="AF129" i="6"/>
  <c r="AF178" i="6"/>
  <c r="AF250" i="6"/>
  <c r="W35" i="6"/>
  <c r="W7" i="6"/>
  <c r="W3" i="6"/>
  <c r="W52" i="6"/>
  <c r="W9" i="6"/>
  <c r="AP78" i="6"/>
  <c r="AP51" i="6"/>
  <c r="AF141" i="6"/>
  <c r="AF175" i="6"/>
  <c r="W59" i="6"/>
  <c r="W15" i="6"/>
  <c r="W65" i="6"/>
  <c r="W64" i="6"/>
  <c r="W6" i="6"/>
  <c r="W21" i="6"/>
  <c r="W56" i="6"/>
  <c r="AP983" i="6"/>
  <c r="AP718" i="6"/>
  <c r="AP328" i="6"/>
  <c r="AP664" i="6"/>
  <c r="AP485" i="6"/>
  <c r="AP446" i="6"/>
  <c r="AP302" i="6"/>
  <c r="AP888" i="6"/>
  <c r="AP456" i="6"/>
  <c r="AP130" i="6"/>
  <c r="AP717" i="6"/>
  <c r="AP332" i="6"/>
  <c r="AP930" i="6"/>
  <c r="AP498" i="6"/>
  <c r="AP471" i="6"/>
  <c r="AP169" i="6"/>
  <c r="AP265" i="6"/>
  <c r="AP121" i="6"/>
  <c r="AP545" i="6"/>
  <c r="AP361" i="6"/>
  <c r="AP832" i="6"/>
  <c r="AP12" i="6"/>
  <c r="AP395" i="6"/>
  <c r="AP251" i="6"/>
  <c r="AP262" i="6"/>
  <c r="AP342" i="6"/>
  <c r="AP160" i="6"/>
  <c r="W12" i="6"/>
  <c r="W37" i="6"/>
  <c r="W30" i="6"/>
  <c r="W45" i="6"/>
  <c r="W47" i="6"/>
  <c r="AP851" i="6"/>
  <c r="AP586" i="6"/>
  <c r="AP329" i="6"/>
  <c r="AP1025" i="6"/>
  <c r="AP981" i="6"/>
  <c r="AP31" i="6"/>
  <c r="AP618" i="6"/>
  <c r="AP436" i="6"/>
  <c r="AP303" i="6"/>
  <c r="AF113" i="6"/>
  <c r="W10" i="6"/>
  <c r="W49" i="6"/>
  <c r="W51" i="6"/>
  <c r="W43" i="6"/>
  <c r="W42" i="6"/>
  <c r="W57" i="6"/>
  <c r="AP495" i="6"/>
  <c r="AP576" i="6"/>
  <c r="AP313" i="6"/>
  <c r="AP784" i="6"/>
  <c r="AP617" i="6"/>
  <c r="AP473" i="6"/>
  <c r="AP569" i="6"/>
  <c r="AP947" i="6"/>
  <c r="AP698" i="6"/>
  <c r="AP410" i="6"/>
  <c r="AP122" i="6"/>
  <c r="AP852" i="6"/>
  <c r="AP132" i="6"/>
  <c r="AP371" i="6"/>
  <c r="AP83" i="6"/>
  <c r="AP238" i="6"/>
  <c r="AP681" i="6"/>
  <c r="AP393" i="6"/>
  <c r="AP8" i="6"/>
  <c r="AP451" i="6"/>
  <c r="AP19" i="6"/>
  <c r="AP894" i="6"/>
  <c r="AP318" i="6"/>
  <c r="AP30" i="6"/>
  <c r="AP424" i="6"/>
  <c r="AP136" i="6"/>
  <c r="AP867" i="6"/>
  <c r="AP723" i="6"/>
  <c r="AF59" i="6"/>
  <c r="W22" i="6"/>
  <c r="W63" i="6"/>
  <c r="W5" i="6"/>
  <c r="W54" i="6"/>
  <c r="W48" i="6"/>
  <c r="AP841" i="6"/>
  <c r="AP904" i="6"/>
  <c r="AP448" i="6"/>
  <c r="AP716" i="6"/>
  <c r="AP242" i="6"/>
  <c r="AP98" i="6"/>
  <c r="AP108" i="6"/>
  <c r="AP503" i="6"/>
  <c r="AP59" i="6"/>
  <c r="AP646" i="6"/>
  <c r="AP369" i="6"/>
  <c r="AP225" i="6"/>
  <c r="AP81" i="6"/>
  <c r="AP416" i="6"/>
  <c r="AP272" i="6"/>
  <c r="AP128" i="6"/>
  <c r="AP1003" i="6"/>
  <c r="AP859" i="6"/>
  <c r="AP715" i="6"/>
  <c r="AP571" i="6"/>
  <c r="AP294" i="6"/>
  <c r="AP699" i="6"/>
  <c r="AF132" i="6"/>
  <c r="W46" i="6"/>
  <c r="W20" i="6"/>
  <c r="W60" i="6"/>
  <c r="W14" i="6"/>
  <c r="W41" i="6"/>
  <c r="AP1023" i="6"/>
  <c r="AP528" i="6"/>
  <c r="AP634" i="6"/>
  <c r="AP991" i="6"/>
  <c r="AF144" i="6"/>
  <c r="AF193" i="6"/>
  <c r="AF229" i="6"/>
  <c r="AF122" i="6"/>
  <c r="AF41" i="6"/>
  <c r="AF63" i="6"/>
  <c r="AF207" i="6"/>
  <c r="AF127" i="6"/>
  <c r="AF136" i="6"/>
  <c r="AF43" i="6"/>
  <c r="W58" i="6"/>
  <c r="W53" i="6"/>
  <c r="AP932" i="6"/>
  <c r="AP374" i="6"/>
  <c r="AP512" i="6"/>
  <c r="AP748" i="6"/>
  <c r="AP821" i="6"/>
  <c r="AP229" i="6"/>
  <c r="AP65" i="6"/>
  <c r="AP938" i="6"/>
  <c r="AP650" i="6"/>
  <c r="AP506" i="6"/>
  <c r="AP948" i="6"/>
  <c r="AP660" i="6"/>
  <c r="AP228" i="6"/>
  <c r="AP766" i="6"/>
  <c r="AP392" i="6"/>
  <c r="AP232" i="6"/>
  <c r="AP963" i="6"/>
  <c r="AF176" i="6"/>
  <c r="AF34" i="6"/>
  <c r="AF134" i="6"/>
  <c r="W11" i="6"/>
  <c r="AP398" i="6"/>
  <c r="AP869" i="6"/>
  <c r="AP86" i="6"/>
  <c r="AP922" i="6"/>
  <c r="AP213" i="6"/>
  <c r="AP570" i="6"/>
  <c r="AP833" i="6"/>
  <c r="AP205" i="6"/>
  <c r="AP638" i="6"/>
  <c r="AP350" i="6"/>
  <c r="AP504" i="6"/>
  <c r="AP167" i="6"/>
  <c r="AP34" i="6"/>
  <c r="AP823" i="6"/>
  <c r="AP535" i="6"/>
  <c r="AP834" i="6"/>
  <c r="AP364" i="6"/>
  <c r="AP220" i="6"/>
  <c r="AP663" i="6"/>
  <c r="W28" i="6"/>
  <c r="AP728" i="6"/>
  <c r="AP301" i="6"/>
  <c r="AP710" i="6"/>
  <c r="AP566" i="6"/>
  <c r="AP720" i="6"/>
  <c r="AP239" i="6"/>
  <c r="AP405" i="6"/>
  <c r="AP117" i="6"/>
  <c r="AP895" i="6"/>
  <c r="AP292" i="6"/>
  <c r="AF88" i="6"/>
  <c r="AF77" i="6"/>
  <c r="AP461" i="6"/>
  <c r="AF71" i="6"/>
  <c r="AF181" i="6"/>
  <c r="AF98" i="6"/>
  <c r="AF242" i="6"/>
  <c r="AF39" i="6"/>
  <c r="AF183" i="6"/>
  <c r="AF173" i="6"/>
  <c r="AF114" i="6"/>
  <c r="AP97" i="6"/>
  <c r="AP749" i="6"/>
  <c r="AP809" i="6"/>
  <c r="AP996" i="6"/>
  <c r="AP249" i="6"/>
  <c r="AP17" i="6"/>
  <c r="AP254" i="6"/>
  <c r="AP82" i="6"/>
  <c r="AP18" i="6"/>
  <c r="AP592" i="6"/>
  <c r="AP995" i="6"/>
  <c r="AP868" i="6"/>
  <c r="AP530" i="6"/>
  <c r="AP386" i="6"/>
  <c r="AP972" i="6"/>
  <c r="AP828" i="6"/>
  <c r="AP396" i="6"/>
  <c r="AP214" i="6"/>
  <c r="AP657" i="6"/>
  <c r="AP427" i="6"/>
  <c r="AP438" i="6"/>
  <c r="AP843" i="6"/>
  <c r="AP805" i="6"/>
  <c r="AP7" i="6"/>
  <c r="AP953" i="6"/>
  <c r="AP764" i="6"/>
  <c r="AP683" i="6"/>
  <c r="AP950" i="6"/>
  <c r="AP518" i="6"/>
  <c r="AP384" i="6"/>
  <c r="AP1002" i="6"/>
  <c r="AP858" i="6"/>
  <c r="AP543" i="6"/>
  <c r="AF91" i="6"/>
  <c r="AF138" i="6"/>
  <c r="AP497" i="6"/>
  <c r="AP370" i="6"/>
  <c r="AP218" i="6"/>
  <c r="AP376" i="6"/>
  <c r="AF235" i="6"/>
  <c r="AP147" i="6"/>
  <c r="AP3" i="6"/>
  <c r="AP514" i="6"/>
  <c r="AP637" i="6"/>
  <c r="AP835" i="6"/>
  <c r="AP88" i="6"/>
  <c r="AP675" i="6"/>
  <c r="AP387" i="6"/>
  <c r="AP99" i="6"/>
  <c r="AP505" i="6"/>
  <c r="AP901" i="6"/>
  <c r="AP989" i="6"/>
  <c r="AP737" i="6"/>
  <c r="AP740" i="6"/>
  <c r="AP601" i="6"/>
  <c r="AP541" i="6"/>
  <c r="AP926" i="6"/>
  <c r="AP494" i="6"/>
  <c r="AP62" i="6"/>
  <c r="AP360" i="6"/>
  <c r="AP72" i="6"/>
  <c r="AP23" i="6"/>
  <c r="AP621" i="6"/>
  <c r="AP236" i="6"/>
  <c r="AP76" i="6"/>
  <c r="AP231" i="6"/>
  <c r="AF44" i="6"/>
  <c r="AF106" i="6"/>
  <c r="AP145" i="6"/>
  <c r="AP825" i="6"/>
  <c r="AP296" i="6"/>
  <c r="AP686" i="6"/>
  <c r="AP215" i="6"/>
  <c r="AP362" i="6"/>
  <c r="AP558" i="6"/>
  <c r="AP905" i="6"/>
  <c r="AP197" i="6"/>
  <c r="AP929" i="6"/>
  <c r="AP793" i="6"/>
  <c r="AP673" i="6"/>
  <c r="AP1016" i="6"/>
  <c r="AP580" i="6"/>
  <c r="AP857" i="6"/>
  <c r="AP277" i="6"/>
  <c r="AP769" i="6"/>
  <c r="AP800" i="6"/>
  <c r="AP914" i="6"/>
  <c r="AP770" i="6"/>
  <c r="AP482" i="6"/>
  <c r="AP194" i="6"/>
  <c r="AP636" i="6"/>
  <c r="AP492" i="6"/>
  <c r="AP60" i="6"/>
  <c r="AP443" i="6"/>
  <c r="AP155" i="6"/>
  <c r="AP897" i="6"/>
  <c r="AP321" i="6"/>
  <c r="AP811" i="6"/>
  <c r="AP667" i="6"/>
  <c r="AP379" i="6"/>
  <c r="AP235" i="6"/>
  <c r="AP91" i="6"/>
  <c r="AP508" i="6"/>
  <c r="AP64" i="6"/>
  <c r="AP939" i="6"/>
  <c r="AP651" i="6"/>
  <c r="AP363" i="6"/>
  <c r="AP75" i="6"/>
  <c r="AF142" i="6"/>
  <c r="AF68" i="6"/>
  <c r="AF118" i="6"/>
  <c r="AP668" i="6"/>
  <c r="AP641" i="6"/>
  <c r="AP988" i="6"/>
  <c r="AP635" i="6"/>
  <c r="AP731" i="6"/>
  <c r="AP964" i="6"/>
  <c r="AP887" i="6"/>
  <c r="AP574" i="6"/>
  <c r="AP430" i="6"/>
  <c r="AP142" i="6"/>
  <c r="AP1017" i="6"/>
  <c r="AP297" i="6"/>
  <c r="AP9" i="6"/>
  <c r="AP56" i="6"/>
  <c r="AP931" i="6"/>
  <c r="AP643" i="6"/>
  <c r="AP355" i="6"/>
  <c r="AP798" i="6"/>
  <c r="AP510" i="6"/>
  <c r="AP40" i="6"/>
  <c r="AP339" i="6"/>
  <c r="AP195" i="6"/>
  <c r="AF80" i="6"/>
  <c r="AF155" i="6"/>
  <c r="AF9" i="6"/>
  <c r="AF23" i="6"/>
  <c r="AF73" i="6"/>
  <c r="AF13" i="6"/>
  <c r="AP529" i="6"/>
  <c r="AP1010" i="6"/>
  <c r="AP722" i="6"/>
  <c r="AP434" i="6"/>
  <c r="AP1020" i="6"/>
  <c r="AP732" i="6"/>
  <c r="AP588" i="6"/>
  <c r="AP300" i="6"/>
  <c r="AP838" i="6"/>
  <c r="AP849" i="6"/>
  <c r="AP320" i="6"/>
  <c r="AP32" i="6"/>
  <c r="AP763" i="6"/>
  <c r="AP619" i="6"/>
  <c r="AP187" i="6"/>
  <c r="AP43" i="6"/>
  <c r="AP918" i="6"/>
  <c r="AP304" i="6"/>
  <c r="AF104" i="6"/>
  <c r="AF21" i="6"/>
  <c r="AF108" i="6"/>
  <c r="AF252" i="6"/>
  <c r="AF133" i="6"/>
  <c r="AF179" i="6"/>
  <c r="AF157" i="6"/>
  <c r="AF86" i="6"/>
  <c r="AF230" i="6"/>
  <c r="AF27" i="6"/>
  <c r="AF171" i="6"/>
  <c r="AF161" i="6"/>
  <c r="AF100" i="6"/>
  <c r="AF244" i="6"/>
  <c r="AF101" i="6"/>
  <c r="AF125" i="6"/>
  <c r="AF102" i="6"/>
  <c r="AF246" i="6"/>
  <c r="AF7" i="6"/>
  <c r="AF145" i="6"/>
  <c r="AF251" i="6"/>
  <c r="AF209" i="6"/>
  <c r="AF112" i="6"/>
  <c r="AF256" i="6"/>
  <c r="AF149" i="6"/>
  <c r="AF19" i="6"/>
  <c r="AF10" i="6"/>
  <c r="AF83" i="6"/>
  <c r="AF169" i="6"/>
  <c r="AF205" i="6"/>
  <c r="AF110" i="6"/>
  <c r="AF254" i="6"/>
  <c r="AF51" i="6"/>
  <c r="AF195" i="6"/>
  <c r="AF257" i="6"/>
  <c r="AF124" i="6"/>
  <c r="AF197" i="6"/>
  <c r="AF221" i="6"/>
  <c r="AF126" i="6"/>
  <c r="AF31" i="6"/>
  <c r="AF95" i="6"/>
  <c r="AF245" i="6"/>
  <c r="AF107" i="6"/>
  <c r="AF156" i="6"/>
  <c r="AF253" i="6"/>
  <c r="AF75" i="6"/>
  <c r="AF219" i="6"/>
  <c r="AF4" i="6"/>
  <c r="AF115" i="6"/>
  <c r="AF6" i="6"/>
  <c r="AF150" i="6"/>
  <c r="AF79" i="6"/>
  <c r="AF105" i="6"/>
  <c r="AF249" i="6"/>
  <c r="AF119" i="6"/>
  <c r="AF24" i="6"/>
  <c r="AF168" i="6"/>
  <c r="AF25" i="6"/>
  <c r="AF241" i="6"/>
  <c r="AF55" i="6"/>
  <c r="AF146" i="6"/>
  <c r="AF185" i="6"/>
  <c r="AF87" i="6"/>
  <c r="AF231" i="6"/>
  <c r="AF16" i="6"/>
  <c r="AF160" i="6"/>
  <c r="AF223" i="6"/>
  <c r="AF18" i="6"/>
  <c r="AF162" i="6"/>
  <c r="AF139" i="6"/>
  <c r="AF143" i="6"/>
  <c r="AF36" i="6"/>
  <c r="AF180" i="6"/>
  <c r="AF37" i="6"/>
  <c r="AF233" i="6"/>
  <c r="AF199" i="6"/>
  <c r="AF14" i="6"/>
  <c r="AF158" i="6"/>
  <c r="AF103" i="6"/>
  <c r="AF99" i="6"/>
  <c r="AF243" i="6"/>
  <c r="AF28" i="6"/>
  <c r="AF172" i="6"/>
  <c r="AF130" i="6"/>
  <c r="AF214" i="6"/>
  <c r="AF30" i="6"/>
  <c r="AF174" i="6"/>
  <c r="AF151" i="6"/>
  <c r="AF203" i="6"/>
  <c r="AF48" i="6"/>
  <c r="AF192" i="6"/>
  <c r="AF49" i="6"/>
  <c r="AF67" i="6"/>
  <c r="AF26" i="6"/>
  <c r="AF170" i="6"/>
  <c r="AF163" i="6"/>
  <c r="AF111" i="6"/>
  <c r="AF255" i="6"/>
  <c r="AF239" i="6"/>
  <c r="AF40" i="6"/>
  <c r="AF184" i="6"/>
  <c r="AF215" i="6"/>
  <c r="AF42" i="6"/>
  <c r="AF186" i="6"/>
  <c r="AF211" i="6"/>
  <c r="AF11" i="6"/>
  <c r="AF60" i="6"/>
  <c r="AF204" i="6"/>
  <c r="AF61" i="6"/>
  <c r="AF38" i="6"/>
  <c r="AF182" i="6"/>
  <c r="AF247" i="6"/>
  <c r="AF123" i="6"/>
  <c r="AF52" i="6"/>
  <c r="AF196" i="6"/>
  <c r="AF191" i="6"/>
  <c r="AF54" i="6"/>
  <c r="AF198" i="6"/>
  <c r="AF46" i="6"/>
  <c r="AF72" i="6"/>
  <c r="AF216" i="6"/>
  <c r="AF131" i="6"/>
  <c r="AF50" i="6"/>
  <c r="AF194" i="6"/>
  <c r="AF135" i="6"/>
  <c r="AF29" i="6"/>
  <c r="AF64" i="6"/>
  <c r="AF208" i="6"/>
  <c r="AF17" i="6"/>
  <c r="AF66" i="6"/>
  <c r="AF210" i="6"/>
  <c r="AF190" i="6"/>
  <c r="AF35" i="6"/>
  <c r="AF84" i="6"/>
  <c r="AF228" i="6"/>
  <c r="AF97" i="6"/>
  <c r="AF154" i="6"/>
  <c r="AF85" i="6"/>
  <c r="AF62" i="6"/>
  <c r="AF206" i="6"/>
  <c r="AF3" i="6"/>
  <c r="AF147" i="6"/>
  <c r="AF65" i="6"/>
  <c r="AF76" i="6"/>
  <c r="AF220" i="6"/>
  <c r="AF53" i="6"/>
  <c r="AF5" i="6"/>
  <c r="AF78" i="6"/>
  <c r="AF222" i="6"/>
  <c r="AF167" i="6"/>
  <c r="AF47" i="6"/>
  <c r="AF96" i="6"/>
  <c r="AF240" i="6"/>
  <c r="AF109" i="6"/>
  <c r="AF121" i="6"/>
  <c r="AF74" i="6"/>
  <c r="AF218" i="6"/>
  <c r="AF227" i="6"/>
  <c r="AF232" i="6"/>
  <c r="AF89" i="6"/>
  <c r="AF90" i="6"/>
  <c r="AF234" i="6"/>
  <c r="AN2" i="6"/>
  <c r="AO2" i="6" a="1"/>
  <c r="AO2" i="6" s="1"/>
  <c r="D24" i="5"/>
  <c r="D3" i="5"/>
  <c r="D6" i="5"/>
  <c r="D12" i="5"/>
  <c r="D18" i="5"/>
  <c r="D2" i="5"/>
  <c r="D28" i="5"/>
  <c r="D19" i="5"/>
  <c r="D33" i="5"/>
  <c r="D29" i="5"/>
  <c r="D15" i="5"/>
  <c r="D27" i="5"/>
  <c r="D13" i="5"/>
  <c r="D26" i="5"/>
  <c r="D11" i="5"/>
  <c r="D5" i="5"/>
  <c r="D25" i="5"/>
  <c r="D10" i="5"/>
  <c r="D4" i="5"/>
  <c r="D23" i="5"/>
  <c r="D9" i="5"/>
  <c r="D22" i="5"/>
  <c r="D8" i="5"/>
  <c r="D35" i="5"/>
  <c r="D21" i="5"/>
  <c r="D7" i="5"/>
  <c r="D34" i="5"/>
  <c r="D20" i="5"/>
  <c r="D32" i="5"/>
  <c r="D17" i="5"/>
  <c r="D31" i="5"/>
  <c r="D16" i="5"/>
  <c r="Q22" i="3"/>
  <c r="S22" i="3" s="1"/>
  <c r="Q37" i="3"/>
  <c r="S37" i="3" s="1"/>
  <c r="Q36" i="3"/>
  <c r="S36" i="3" s="1"/>
  <c r="Q7" i="3"/>
  <c r="S7" i="3" s="1"/>
  <c r="Q6" i="3"/>
  <c r="S6" i="3" s="1"/>
  <c r="Q4" i="3"/>
  <c r="S4" i="3" s="1"/>
  <c r="Q48" i="3"/>
  <c r="S48" i="3" s="1"/>
  <c r="Q30" i="3"/>
  <c r="S30" i="3" s="1"/>
  <c r="Q28" i="3"/>
  <c r="S28" i="3" s="1"/>
  <c r="Q9" i="3"/>
  <c r="S9" i="3" s="1"/>
  <c r="Q26" i="3"/>
  <c r="S26" i="3" s="1"/>
  <c r="Q43" i="3"/>
  <c r="S43" i="3" s="1"/>
  <c r="Q40" i="3"/>
  <c r="S40" i="3" s="1"/>
  <c r="Q39" i="3"/>
  <c r="S39" i="3" s="1"/>
  <c r="Q50" i="3"/>
  <c r="S50" i="3" s="1"/>
  <c r="Q21" i="3"/>
  <c r="S21" i="3" s="1"/>
  <c r="Q49" i="3"/>
  <c r="S49" i="3" s="1"/>
  <c r="Q15" i="3"/>
  <c r="S15" i="3" s="1"/>
  <c r="Q2" i="3"/>
  <c r="Q34" i="3"/>
  <c r="S34" i="3" s="1"/>
  <c r="Q33" i="3"/>
  <c r="S33" i="3" s="1"/>
  <c r="Q19" i="3"/>
  <c r="S19" i="3" s="1"/>
  <c r="Q31" i="3"/>
  <c r="S31" i="3" s="1"/>
  <c r="Q11" i="3"/>
  <c r="S11" i="3" s="1"/>
  <c r="Q10" i="3"/>
  <c r="S10" i="3" s="1"/>
  <c r="Q27" i="3"/>
  <c r="S27" i="3" s="1"/>
  <c r="Q18" i="3"/>
  <c r="S18" i="3" s="1"/>
  <c r="Q24" i="3"/>
  <c r="S24" i="3" s="1"/>
  <c r="Q38" i="3"/>
  <c r="S38" i="3" s="1"/>
  <c r="Q14" i="3"/>
  <c r="S14" i="3" s="1"/>
  <c r="Q32" i="3"/>
  <c r="S32" i="3" s="1"/>
  <c r="Q45" i="3"/>
  <c r="S45" i="3" s="1"/>
  <c r="Q51" i="3"/>
  <c r="S51" i="3" s="1"/>
  <c r="Q41" i="3"/>
  <c r="S41" i="3" s="1"/>
  <c r="Q8" i="3"/>
  <c r="S8" i="3" s="1"/>
  <c r="Q35" i="3"/>
  <c r="S35" i="3" s="1"/>
  <c r="Q20" i="3"/>
  <c r="S20" i="3" s="1"/>
  <c r="Q12" i="3"/>
  <c r="S12" i="3" s="1"/>
  <c r="Q29" i="3"/>
  <c r="S29" i="3" s="1"/>
  <c r="Q3" i="3"/>
  <c r="S3" i="3" s="1"/>
  <c r="Q44" i="3"/>
  <c r="S44" i="3" s="1"/>
  <c r="Q25" i="3"/>
  <c r="S25" i="3" s="1"/>
  <c r="Q23" i="3"/>
  <c r="S23" i="3" s="1"/>
  <c r="Q17" i="3"/>
  <c r="S17" i="3" s="1"/>
  <c r="Q16" i="3"/>
  <c r="S16" i="3" s="1"/>
  <c r="Q5" i="3"/>
  <c r="S5" i="3" s="1"/>
  <c r="Q13" i="3"/>
  <c r="S13" i="3" s="1"/>
  <c r="Q47" i="3"/>
  <c r="S47" i="3" s="1"/>
  <c r="Q46" i="3"/>
  <c r="S46" i="3" s="1"/>
  <c r="Q42" i="3"/>
  <c r="S42" i="3" s="1"/>
  <c r="D29" i="4" l="1"/>
  <c r="D18" i="4"/>
  <c r="E18" i="4" s="1"/>
  <c r="D30" i="4"/>
  <c r="E30" i="4" s="1"/>
  <c r="D19" i="4"/>
  <c r="E19" i="4" s="1"/>
  <c r="D17" i="4"/>
  <c r="E17" i="4" s="1"/>
  <c r="D31" i="4"/>
  <c r="E31" i="4" s="1"/>
  <c r="D20" i="4"/>
  <c r="E20" i="4" s="1"/>
  <c r="D32" i="4"/>
  <c r="E32" i="4" s="1"/>
  <c r="D9" i="4"/>
  <c r="E9" i="4" s="1"/>
  <c r="D21" i="4"/>
  <c r="E21" i="4" s="1"/>
  <c r="D16" i="4"/>
  <c r="E16" i="4" s="1"/>
  <c r="D33" i="4"/>
  <c r="E33" i="4" s="1"/>
  <c r="D10" i="4"/>
  <c r="E10" i="4" s="1"/>
  <c r="D22" i="4"/>
  <c r="D34" i="4"/>
  <c r="E34" i="4" s="1"/>
  <c r="D11" i="4"/>
  <c r="E11" i="4" s="1"/>
  <c r="D23" i="4"/>
  <c r="E23" i="4" s="1"/>
  <c r="D28" i="4"/>
  <c r="E28" i="4" s="1"/>
  <c r="D35" i="4"/>
  <c r="E35" i="4" s="1"/>
  <c r="D12" i="4"/>
  <c r="E12" i="4" s="1"/>
  <c r="D27" i="4"/>
  <c r="E27" i="4" s="1"/>
  <c r="D24" i="4"/>
  <c r="E24" i="4" s="1"/>
  <c r="D36" i="4"/>
  <c r="D13" i="4"/>
  <c r="E13" i="4" s="1"/>
  <c r="D25" i="4"/>
  <c r="E25" i="4" s="1"/>
  <c r="D14" i="4"/>
  <c r="E14" i="4" s="1"/>
  <c r="D26" i="4"/>
  <c r="E26" i="4" s="1"/>
  <c r="D15" i="4"/>
  <c r="D2" i="4"/>
  <c r="E2" i="4" s="1"/>
  <c r="D8" i="4"/>
  <c r="E8" i="4" s="1"/>
  <c r="F8" i="4" s="1"/>
  <c r="G8" i="4" s="1"/>
  <c r="D3" i="4"/>
  <c r="E3" i="4" s="1"/>
  <c r="D7" i="4"/>
  <c r="E7" i="4" s="1"/>
  <c r="D4" i="4"/>
  <c r="E4" i="4" s="1"/>
  <c r="D5" i="4"/>
  <c r="E5" i="4" s="1"/>
  <c r="D6" i="4"/>
  <c r="E6" i="4" s="1"/>
  <c r="P1" i="6"/>
  <c r="P5" i="5" s="1"/>
  <c r="AP2" i="6"/>
  <c r="AQ1" i="6" s="1"/>
  <c r="P8" i="5" s="1"/>
  <c r="X1" i="6"/>
  <c r="P6" i="5" s="1"/>
  <c r="AG1" i="6"/>
  <c r="P7" i="5" s="1"/>
  <c r="E36" i="4" l="1"/>
  <c r="F36" i="4" s="1"/>
  <c r="G36" i="4" s="1"/>
  <c r="H36" i="4" s="1"/>
  <c r="T9" i="4" s="1" a="1"/>
  <c r="T9" i="4" s="1"/>
  <c r="E15" i="4"/>
  <c r="F15" i="4" s="1"/>
  <c r="G15" i="4" s="1"/>
  <c r="H15" i="4" s="1"/>
  <c r="Q9" i="4" s="1" a="1"/>
  <c r="Q9" i="4" s="1"/>
  <c r="E22" i="4"/>
  <c r="F22" i="4" s="1"/>
  <c r="G22" i="4" s="1"/>
  <c r="H22" i="4" s="1"/>
  <c r="R9" i="4" s="1" a="1"/>
  <c r="R9" i="4" s="1"/>
  <c r="E29" i="4"/>
  <c r="F29" i="4" s="1"/>
  <c r="G29" i="4" s="1"/>
  <c r="H29" i="4" s="1"/>
  <c r="S9" i="4" s="1" a="1"/>
  <c r="S9" i="4" s="1"/>
  <c r="H50" i="5"/>
  <c r="H90" i="5"/>
  <c r="H136" i="5"/>
  <c r="H96" i="5"/>
  <c r="H170" i="5"/>
  <c r="H158" i="5"/>
  <c r="H124" i="5"/>
  <c r="H56" i="5"/>
  <c r="H146" i="5"/>
  <c r="H102" i="5"/>
  <c r="H130" i="5"/>
  <c r="H62" i="5"/>
  <c r="H112" i="5"/>
  <c r="H164" i="5"/>
  <c r="H78" i="5"/>
  <c r="H68" i="5"/>
  <c r="H44" i="5"/>
  <c r="H152" i="5"/>
  <c r="H118" i="5"/>
  <c r="H84" i="5"/>
  <c r="H163" i="5"/>
  <c r="H67" i="5"/>
  <c r="H43" i="5"/>
  <c r="H151" i="5"/>
  <c r="H117" i="5"/>
  <c r="H83" i="5"/>
  <c r="H77" i="5"/>
  <c r="H73" i="5"/>
  <c r="H135" i="5"/>
  <c r="H39" i="5"/>
  <c r="H49" i="5"/>
  <c r="H95" i="5"/>
  <c r="H89" i="5"/>
  <c r="H169" i="5"/>
  <c r="H157" i="5"/>
  <c r="H123" i="5"/>
  <c r="H55" i="5"/>
  <c r="H145" i="5"/>
  <c r="H141" i="5"/>
  <c r="H129" i="5"/>
  <c r="H101" i="5"/>
  <c r="H61" i="5"/>
  <c r="H111" i="5"/>
  <c r="H107" i="5"/>
  <c r="H171" i="5"/>
  <c r="H159" i="5"/>
  <c r="H125" i="5"/>
  <c r="H103" i="5"/>
  <c r="H147" i="5"/>
  <c r="H131" i="5"/>
  <c r="H63" i="5"/>
  <c r="H113" i="5"/>
  <c r="H79" i="5"/>
  <c r="H57" i="5"/>
  <c r="H85" i="5"/>
  <c r="H69" i="5"/>
  <c r="H45" i="5"/>
  <c r="H165" i="5"/>
  <c r="H119" i="5"/>
  <c r="H153" i="5"/>
  <c r="H137" i="5"/>
  <c r="H91" i="5"/>
  <c r="H51" i="5"/>
  <c r="H97" i="5"/>
  <c r="H128" i="5"/>
  <c r="H100" i="5"/>
  <c r="H144" i="5"/>
  <c r="H110" i="5"/>
  <c r="H60" i="5"/>
  <c r="H106" i="5"/>
  <c r="H162" i="5"/>
  <c r="H140" i="5"/>
  <c r="H150" i="5"/>
  <c r="H116" i="5"/>
  <c r="H76" i="5"/>
  <c r="H66" i="5"/>
  <c r="H42" i="5"/>
  <c r="H134" i="5"/>
  <c r="H82" i="5"/>
  <c r="H72" i="5"/>
  <c r="H38" i="5"/>
  <c r="H48" i="5"/>
  <c r="H88" i="5"/>
  <c r="H168" i="5"/>
  <c r="H122" i="5"/>
  <c r="H94" i="5"/>
  <c r="H156" i="5"/>
  <c r="H54" i="5"/>
  <c r="F7" i="4"/>
  <c r="G7" i="4" s="1"/>
  <c r="H7" i="4" s="1"/>
  <c r="P8" i="4" s="1" a="1"/>
  <c r="P8" i="4" s="1"/>
  <c r="H8" i="4"/>
  <c r="P9" i="4" s="1" a="1"/>
  <c r="P9" i="4" s="1"/>
  <c r="H15" i="5"/>
  <c r="H27" i="5"/>
  <c r="H9" i="5"/>
  <c r="H21" i="5"/>
  <c r="H33" i="5"/>
  <c r="H5" i="5"/>
  <c r="H8" i="5"/>
  <c r="H20" i="5"/>
  <c r="H32" i="5"/>
  <c r="H14" i="5"/>
  <c r="H4" i="5"/>
  <c r="H26" i="5"/>
  <c r="H16" i="5"/>
  <c r="H10" i="5"/>
  <c r="H22" i="5"/>
  <c r="H34" i="5"/>
  <c r="H28" i="5"/>
  <c r="H29" i="5"/>
  <c r="H11" i="5"/>
  <c r="H23" i="5"/>
  <c r="H35" i="5"/>
  <c r="H17" i="5"/>
  <c r="F14" i="4" l="1"/>
  <c r="G14" i="4" s="1"/>
  <c r="H14" i="4" s="1"/>
  <c r="Q8" i="4" s="1" a="1"/>
  <c r="Q8" i="4" s="1"/>
  <c r="C136" i="5" a="1"/>
  <c r="C136" i="5" s="1"/>
  <c r="E136" i="5" s="1"/>
  <c r="C134" i="5" a="1"/>
  <c r="C134" i="5" s="1"/>
  <c r="E134" i="5" s="1"/>
  <c r="J29" i="4"/>
  <c r="C137" i="5" a="1"/>
  <c r="C137" i="5" s="1"/>
  <c r="E137" i="5" s="1"/>
  <c r="C133" i="5" a="1"/>
  <c r="C133" i="5" s="1"/>
  <c r="C135" i="5" a="1"/>
  <c r="C135" i="5" s="1"/>
  <c r="E135" i="5" s="1"/>
  <c r="C132" i="5" a="1"/>
  <c r="C132" i="5" s="1"/>
  <c r="J132" i="5" s="1"/>
  <c r="C99" i="5" a="1"/>
  <c r="C99" i="5" s="1"/>
  <c r="J99" i="5" s="1"/>
  <c r="J22" i="4"/>
  <c r="C100" i="5" a="1"/>
  <c r="C100" i="5" s="1"/>
  <c r="E100" i="5" s="1"/>
  <c r="C101" i="5" a="1"/>
  <c r="C101" i="5" s="1"/>
  <c r="E101" i="5" s="1"/>
  <c r="C102" i="5" a="1"/>
  <c r="C102" i="5" s="1"/>
  <c r="E102" i="5" s="1"/>
  <c r="C103" i="5" a="1"/>
  <c r="C103" i="5" s="1"/>
  <c r="E103" i="5" s="1"/>
  <c r="C98" i="5" a="1"/>
  <c r="C98" i="5" s="1"/>
  <c r="J98" i="5" s="1"/>
  <c r="J15" i="4"/>
  <c r="C68" i="5" a="1"/>
  <c r="C68" i="5" s="1"/>
  <c r="E68" i="5" s="1"/>
  <c r="C69" i="5" a="1"/>
  <c r="C69" i="5" s="1"/>
  <c r="E69" i="5" s="1"/>
  <c r="C64" i="5" a="1"/>
  <c r="C64" i="5" s="1"/>
  <c r="J64" i="5" s="1"/>
  <c r="C65" i="5" a="1"/>
  <c r="C65" i="5" s="1"/>
  <c r="E65" i="5" s="1"/>
  <c r="C66" i="5" a="1"/>
  <c r="C66" i="5" s="1"/>
  <c r="E66" i="5" s="1"/>
  <c r="C67" i="5" a="1"/>
  <c r="C67" i="5" s="1"/>
  <c r="E67" i="5" s="1"/>
  <c r="C170" i="5" a="1"/>
  <c r="C170" i="5" s="1"/>
  <c r="E170" i="5" s="1"/>
  <c r="C171" i="5" a="1"/>
  <c r="C171" i="5" s="1"/>
  <c r="E171" i="5" s="1"/>
  <c r="J36" i="4"/>
  <c r="C166" i="5" a="1"/>
  <c r="C166" i="5" s="1"/>
  <c r="E166" i="5" s="1"/>
  <c r="C167" i="5" a="1"/>
  <c r="C167" i="5" s="1"/>
  <c r="E167" i="5" s="1"/>
  <c r="C168" i="5" a="1"/>
  <c r="C168" i="5" s="1"/>
  <c r="E168" i="5" s="1"/>
  <c r="C169" i="5" a="1"/>
  <c r="C169" i="5" s="1"/>
  <c r="E169" i="5" s="1"/>
  <c r="F21" i="4"/>
  <c r="G21" i="4" s="1"/>
  <c r="H21" i="4" s="1"/>
  <c r="C97" i="5" s="1" a="1"/>
  <c r="C97" i="5" s="1"/>
  <c r="E97" i="5" s="1"/>
  <c r="F28" i="4"/>
  <c r="G28" i="4" s="1"/>
  <c r="H28" i="4" s="1"/>
  <c r="J67" i="5"/>
  <c r="F35" i="4"/>
  <c r="G35" i="4" s="1"/>
  <c r="H35" i="4" s="1"/>
  <c r="C164" i="5" s="1" a="1"/>
  <c r="C164" i="5" s="1"/>
  <c r="E164" i="5" s="1"/>
  <c r="C93" i="5" a="1"/>
  <c r="C93" i="5" s="1"/>
  <c r="J93" i="5" s="1"/>
  <c r="F13" i="4"/>
  <c r="J101" i="5"/>
  <c r="J135" i="5"/>
  <c r="E132" i="5"/>
  <c r="C163" i="5" a="1"/>
  <c r="C163" i="5" s="1"/>
  <c r="E163" i="5" s="1"/>
  <c r="C161" i="5" a="1"/>
  <c r="C161" i="5" s="1"/>
  <c r="C162" i="5" a="1"/>
  <c r="C162" i="5" s="1"/>
  <c r="E162" i="5" s="1"/>
  <c r="E133" i="5"/>
  <c r="J133" i="5"/>
  <c r="F11" i="4"/>
  <c r="J8" i="4"/>
  <c r="C31" i="5" a="1"/>
  <c r="C31" i="5" s="1"/>
  <c r="C32" i="5" a="1"/>
  <c r="C32" i="5" s="1"/>
  <c r="E32" i="5" s="1"/>
  <c r="C33" i="5" a="1"/>
  <c r="C33" i="5" s="1"/>
  <c r="E33" i="5" s="1"/>
  <c r="C34" i="5" a="1"/>
  <c r="C34" i="5" s="1"/>
  <c r="E34" i="5" s="1"/>
  <c r="C35" i="5" a="1"/>
  <c r="C35" i="5" s="1"/>
  <c r="J35" i="5" s="1"/>
  <c r="C30" i="5" a="1"/>
  <c r="C30" i="5" s="1"/>
  <c r="C26" i="5" a="1"/>
  <c r="C26" i="5" s="1"/>
  <c r="J26" i="5" s="1"/>
  <c r="C27" i="5" a="1"/>
  <c r="C27" i="5" s="1"/>
  <c r="E27" i="5" s="1"/>
  <c r="C28" i="5" a="1"/>
  <c r="C28" i="5" s="1"/>
  <c r="J28" i="5" s="1"/>
  <c r="C29" i="5" a="1"/>
  <c r="C29" i="5" s="1"/>
  <c r="J29" i="5" s="1"/>
  <c r="C24" i="5" a="1"/>
  <c r="C24" i="5" s="1"/>
  <c r="J24" i="5" s="1"/>
  <c r="C25" i="5" a="1"/>
  <c r="C25" i="5" s="1"/>
  <c r="J25" i="5" s="1"/>
  <c r="J7" i="4"/>
  <c r="F6" i="4"/>
  <c r="G6" i="4" s="1"/>
  <c r="H6" i="4" s="1"/>
  <c r="P7" i="4" s="1" a="1"/>
  <c r="P7" i="4" s="1"/>
  <c r="J35" i="4" l="1"/>
  <c r="T8" i="4" a="1"/>
  <c r="T8" i="4" s="1"/>
  <c r="J28" i="4"/>
  <c r="S8" i="4" a="1"/>
  <c r="S8" i="4" s="1"/>
  <c r="J21" i="4"/>
  <c r="R8" i="4" a="1"/>
  <c r="R8" i="4" s="1"/>
  <c r="E99" i="5"/>
  <c r="J137" i="5"/>
  <c r="J134" i="5"/>
  <c r="J102" i="5"/>
  <c r="J136" i="5"/>
  <c r="F34" i="4"/>
  <c r="C165" i="5" a="1"/>
  <c r="C165" i="5" s="1"/>
  <c r="E165" i="5" s="1"/>
  <c r="C160" i="5" a="1"/>
  <c r="C160" i="5" s="1"/>
  <c r="J160" i="5" s="1"/>
  <c r="C96" i="5" a="1"/>
  <c r="C96" i="5" s="1"/>
  <c r="E96" i="5" s="1"/>
  <c r="F27" i="4"/>
  <c r="F26" i="4" s="1"/>
  <c r="G26" i="4" s="1"/>
  <c r="H26" i="4" s="1"/>
  <c r="J26" i="4" s="1"/>
  <c r="C95" i="5" a="1"/>
  <c r="C95" i="5" s="1"/>
  <c r="E95" i="5" s="1"/>
  <c r="F20" i="4"/>
  <c r="F18" i="4" s="1"/>
  <c r="G18" i="4" s="1"/>
  <c r="H18" i="4" s="1"/>
  <c r="R6" i="4" s="1" a="1"/>
  <c r="R6" i="4" s="1"/>
  <c r="C94" i="5" a="1"/>
  <c r="C94" i="5" s="1"/>
  <c r="E94" i="5" s="1"/>
  <c r="C92" i="5" a="1"/>
  <c r="C92" i="5" s="1"/>
  <c r="E92" i="5" s="1"/>
  <c r="J103" i="5"/>
  <c r="J69" i="5"/>
  <c r="J65" i="5"/>
  <c r="J167" i="5"/>
  <c r="J170" i="5"/>
  <c r="C63" i="5" a="1"/>
  <c r="C63" i="5" s="1"/>
  <c r="C62" i="5" a="1"/>
  <c r="C62" i="5" s="1"/>
  <c r="C60" i="5" a="1"/>
  <c r="C60" i="5" s="1"/>
  <c r="C61" i="5" a="1"/>
  <c r="C61" i="5" s="1"/>
  <c r="C58" i="5" a="1"/>
  <c r="C58" i="5" s="1"/>
  <c r="J14" i="4"/>
  <c r="C59" i="5" a="1"/>
  <c r="C59" i="5" s="1"/>
  <c r="E98" i="5"/>
  <c r="J100" i="5"/>
  <c r="J68" i="5"/>
  <c r="E64" i="5"/>
  <c r="J169" i="5"/>
  <c r="E93" i="5"/>
  <c r="J166" i="5"/>
  <c r="J171" i="5"/>
  <c r="J168" i="5"/>
  <c r="J66" i="5"/>
  <c r="C126" i="5" a="1"/>
  <c r="C126" i="5" s="1"/>
  <c r="C127" i="5" a="1"/>
  <c r="C127" i="5" s="1"/>
  <c r="C128" i="5" a="1"/>
  <c r="C128" i="5" s="1"/>
  <c r="C129" i="5" a="1"/>
  <c r="C129" i="5" s="1"/>
  <c r="C130" i="5" a="1"/>
  <c r="C130" i="5" s="1"/>
  <c r="C131" i="5" a="1"/>
  <c r="C131" i="5" s="1"/>
  <c r="J96" i="5"/>
  <c r="J97" i="5"/>
  <c r="J95" i="5"/>
  <c r="J94" i="5"/>
  <c r="F33" i="4"/>
  <c r="G33" i="4" s="1"/>
  <c r="H33" i="4" s="1"/>
  <c r="G13" i="4"/>
  <c r="H13" i="4" s="1"/>
  <c r="Q7" i="4" s="1" a="1"/>
  <c r="Q7" i="4" s="1"/>
  <c r="F12" i="4"/>
  <c r="G12" i="4" s="1"/>
  <c r="H12" i="4" s="1"/>
  <c r="G11" i="4"/>
  <c r="H11" i="4" s="1"/>
  <c r="Q6" i="4" s="1" a="1"/>
  <c r="Q6" i="4" s="1"/>
  <c r="J162" i="5"/>
  <c r="J164" i="5"/>
  <c r="E160" i="5"/>
  <c r="E161" i="5"/>
  <c r="J161" i="5"/>
  <c r="J163" i="5"/>
  <c r="E24" i="5"/>
  <c r="E25" i="5"/>
  <c r="C19" i="5" a="1"/>
  <c r="C19" i="5" s="1"/>
  <c r="C20" i="5" a="1"/>
  <c r="C20" i="5" s="1"/>
  <c r="J20" i="5" s="1"/>
  <c r="C21" i="5" a="1"/>
  <c r="C21" i="5" s="1"/>
  <c r="E21" i="5" s="1"/>
  <c r="C22" i="5" a="1"/>
  <c r="C22" i="5" s="1"/>
  <c r="J22" i="5" s="1"/>
  <c r="C23" i="5" a="1"/>
  <c r="C23" i="5" s="1"/>
  <c r="J23" i="5" s="1"/>
  <c r="C18" i="5" a="1"/>
  <c r="C18" i="5" s="1"/>
  <c r="E18" i="5" s="1"/>
  <c r="E26" i="5"/>
  <c r="J6" i="4"/>
  <c r="E28" i="5"/>
  <c r="E29" i="5"/>
  <c r="F5" i="4"/>
  <c r="G5" i="4" s="1"/>
  <c r="H5" i="4" s="1"/>
  <c r="J27" i="5"/>
  <c r="F4" i="4"/>
  <c r="G4" i="4" s="1"/>
  <c r="H4" i="4" s="1"/>
  <c r="P6" i="4" s="1" a="1"/>
  <c r="P6" i="4" s="1"/>
  <c r="J34" i="5"/>
  <c r="J30" i="5"/>
  <c r="E30" i="5"/>
  <c r="E31" i="5"/>
  <c r="J31" i="5"/>
  <c r="J33" i="5"/>
  <c r="L35" i="5"/>
  <c r="M35" i="5" s="1"/>
  <c r="E35" i="5"/>
  <c r="J32" i="5"/>
  <c r="F19" i="4" l="1"/>
  <c r="G19" i="4" s="1"/>
  <c r="H19" i="4" s="1"/>
  <c r="G20" i="4"/>
  <c r="H20" i="4" s="1"/>
  <c r="R7" i="4" s="1" a="1"/>
  <c r="R7" i="4" s="1"/>
  <c r="F25" i="4"/>
  <c r="G25" i="4" s="1"/>
  <c r="H25" i="4" s="1"/>
  <c r="G27" i="4"/>
  <c r="H27" i="4" s="1"/>
  <c r="J165" i="5"/>
  <c r="G34" i="4"/>
  <c r="H34" i="4" s="1"/>
  <c r="T7" i="4" s="1" a="1"/>
  <c r="T7" i="4" s="1"/>
  <c r="F32" i="4"/>
  <c r="G32" i="4" s="1"/>
  <c r="H32" i="4" s="1"/>
  <c r="T6" i="4" s="1" a="1"/>
  <c r="T6" i="4" s="1"/>
  <c r="J92" i="5"/>
  <c r="J59" i="5"/>
  <c r="E59" i="5"/>
  <c r="J58" i="5"/>
  <c r="E58" i="5"/>
  <c r="E61" i="5"/>
  <c r="J61" i="5"/>
  <c r="E60" i="5"/>
  <c r="J60" i="5"/>
  <c r="E62" i="5"/>
  <c r="J62" i="5"/>
  <c r="E63" i="5"/>
  <c r="J63" i="5"/>
  <c r="E131" i="5"/>
  <c r="J131" i="5"/>
  <c r="E130" i="5"/>
  <c r="J130" i="5"/>
  <c r="J27" i="4"/>
  <c r="C124" i="5" a="1"/>
  <c r="C124" i="5" s="1"/>
  <c r="C120" i="5" a="1"/>
  <c r="C120" i="5" s="1"/>
  <c r="E129" i="5"/>
  <c r="J129" i="5"/>
  <c r="E128" i="5"/>
  <c r="J128" i="5"/>
  <c r="E127" i="5"/>
  <c r="J127" i="5"/>
  <c r="J126" i="5"/>
  <c r="E126" i="5"/>
  <c r="F31" i="4"/>
  <c r="G31" i="4" s="1"/>
  <c r="F10" i="4"/>
  <c r="G10" i="4" s="1"/>
  <c r="C116" i="5" a="1"/>
  <c r="C116" i="5" s="1"/>
  <c r="C117" i="5" a="1"/>
  <c r="C117" i="5" s="1"/>
  <c r="C118" i="5" a="1"/>
  <c r="C118" i="5" s="1"/>
  <c r="C119" i="5" a="1"/>
  <c r="C119" i="5" s="1"/>
  <c r="C114" i="5" a="1"/>
  <c r="C114" i="5" s="1"/>
  <c r="C115" i="5" a="1"/>
  <c r="C115" i="5" s="1"/>
  <c r="F24" i="4"/>
  <c r="G24" i="4" s="1"/>
  <c r="C151" i="5" a="1"/>
  <c r="C151" i="5" s="1"/>
  <c r="C152" i="5" a="1"/>
  <c r="C152" i="5" s="1"/>
  <c r="J33" i="4"/>
  <c r="C153" i="5" a="1"/>
  <c r="C153" i="5" s="1"/>
  <c r="C148" i="5" a="1"/>
  <c r="C148" i="5" s="1"/>
  <c r="C149" i="5" a="1"/>
  <c r="C149" i="5" s="1"/>
  <c r="C150" i="5" a="1"/>
  <c r="C150" i="5" s="1"/>
  <c r="J19" i="4"/>
  <c r="C82" i="5" a="1"/>
  <c r="C82" i="5" s="1"/>
  <c r="C83" i="5" a="1"/>
  <c r="C83" i="5" s="1"/>
  <c r="C84" i="5" a="1"/>
  <c r="C84" i="5" s="1"/>
  <c r="C85" i="5" a="1"/>
  <c r="C85" i="5" s="1"/>
  <c r="C80" i="5" a="1"/>
  <c r="C80" i="5" s="1"/>
  <c r="C81" i="5" a="1"/>
  <c r="C81" i="5" s="1"/>
  <c r="C86" i="5" a="1"/>
  <c r="C86" i="5" s="1"/>
  <c r="C87" i="5" a="1"/>
  <c r="C87" i="5" s="1"/>
  <c r="J20" i="4"/>
  <c r="C88" i="5" a="1"/>
  <c r="C88" i="5" s="1"/>
  <c r="C89" i="5" a="1"/>
  <c r="C89" i="5" s="1"/>
  <c r="C90" i="5" a="1"/>
  <c r="C90" i="5" s="1"/>
  <c r="C91" i="5" a="1"/>
  <c r="C91" i="5" s="1"/>
  <c r="C48" i="5" a="1"/>
  <c r="C48" i="5" s="1"/>
  <c r="C49" i="5" a="1"/>
  <c r="C49" i="5" s="1"/>
  <c r="C50" i="5" a="1"/>
  <c r="C50" i="5" s="1"/>
  <c r="C51" i="5" a="1"/>
  <c r="C51" i="5" s="1"/>
  <c r="C46" i="5" a="1"/>
  <c r="C46" i="5" s="1"/>
  <c r="J12" i="4"/>
  <c r="C47" i="5" a="1"/>
  <c r="C47" i="5" s="1"/>
  <c r="C54" i="5" a="1"/>
  <c r="C54" i="5" s="1"/>
  <c r="J13" i="4"/>
  <c r="C55" i="5" a="1"/>
  <c r="C55" i="5" s="1"/>
  <c r="C56" i="5" a="1"/>
  <c r="C56" i="5" s="1"/>
  <c r="C57" i="5" a="1"/>
  <c r="C57" i="5" s="1"/>
  <c r="C52" i="5" a="1"/>
  <c r="C52" i="5" s="1"/>
  <c r="C53" i="5" a="1"/>
  <c r="C53" i="5" s="1"/>
  <c r="H31" i="4"/>
  <c r="T5" i="4" s="1" a="1"/>
  <c r="T5" i="4" s="1"/>
  <c r="G30" i="4"/>
  <c r="H30" i="4" s="1"/>
  <c r="R15" i="5" s="1"/>
  <c r="C76" i="5" a="1"/>
  <c r="C76" i="5" s="1"/>
  <c r="C74" i="5" a="1"/>
  <c r="C74" i="5" s="1"/>
  <c r="C75" i="5" a="1"/>
  <c r="C75" i="5" s="1"/>
  <c r="C79" i="5" a="1"/>
  <c r="C79" i="5" s="1"/>
  <c r="J18" i="4"/>
  <c r="C77" i="5" a="1"/>
  <c r="C77" i="5" s="1"/>
  <c r="C78" i="5" a="1"/>
  <c r="C78" i="5" s="1"/>
  <c r="J11" i="4"/>
  <c r="C43" i="5" a="1"/>
  <c r="C43" i="5" s="1"/>
  <c r="C44" i="5" a="1"/>
  <c r="C44" i="5" s="1"/>
  <c r="C45" i="5" a="1"/>
  <c r="C45" i="5" s="1"/>
  <c r="C40" i="5" a="1"/>
  <c r="C40" i="5" s="1"/>
  <c r="C41" i="5" a="1"/>
  <c r="C41" i="5" s="1"/>
  <c r="C42" i="5" a="1"/>
  <c r="C42" i="5" s="1"/>
  <c r="C144" i="5" a="1"/>
  <c r="C144" i="5" s="1"/>
  <c r="C145" i="5" a="1"/>
  <c r="C145" i="5" s="1"/>
  <c r="C146" i="5" a="1"/>
  <c r="C146" i="5" s="1"/>
  <c r="C147" i="5" a="1"/>
  <c r="C147" i="5" s="1"/>
  <c r="J32" i="4"/>
  <c r="C142" i="5" a="1"/>
  <c r="C142" i="5" s="1"/>
  <c r="C143" i="5" a="1"/>
  <c r="C143" i="5" s="1"/>
  <c r="C7" i="5" a="1"/>
  <c r="C7" i="5" s="1"/>
  <c r="J7" i="5" s="1"/>
  <c r="C8" i="5" a="1"/>
  <c r="C8" i="5" s="1"/>
  <c r="J8" i="5" s="1"/>
  <c r="C9" i="5" a="1"/>
  <c r="C9" i="5" s="1"/>
  <c r="C10" i="5" a="1"/>
  <c r="C10" i="5" s="1"/>
  <c r="C11" i="5" a="1"/>
  <c r="C11" i="5" s="1"/>
  <c r="C6" i="5" a="1"/>
  <c r="C6" i="5" s="1"/>
  <c r="E6" i="5" s="1"/>
  <c r="C14" i="5" a="1"/>
  <c r="C14" i="5" s="1"/>
  <c r="J14" i="5" s="1"/>
  <c r="C15" i="5" a="1"/>
  <c r="C15" i="5" s="1"/>
  <c r="E15" i="5" s="1"/>
  <c r="C16" i="5" a="1"/>
  <c r="C16" i="5" s="1"/>
  <c r="J16" i="5" s="1"/>
  <c r="C17" i="5" a="1"/>
  <c r="C17" i="5" s="1"/>
  <c r="J17" i="5" s="1"/>
  <c r="C12" i="5" a="1"/>
  <c r="C12" i="5" s="1"/>
  <c r="J12" i="5" s="1"/>
  <c r="C13" i="5" a="1"/>
  <c r="C13" i="5" s="1"/>
  <c r="J13" i="5" s="1"/>
  <c r="E20" i="5"/>
  <c r="J4" i="4"/>
  <c r="J5" i="4"/>
  <c r="J18" i="5"/>
  <c r="E22" i="5"/>
  <c r="J21" i="5"/>
  <c r="E23" i="5"/>
  <c r="F3" i="4"/>
  <c r="G3" i="4" s="1"/>
  <c r="H3" i="4" s="1"/>
  <c r="P5" i="4" s="1" a="1"/>
  <c r="P5" i="4" s="1"/>
  <c r="J19" i="5"/>
  <c r="E19" i="5"/>
  <c r="C109" i="5" l="1" a="1"/>
  <c r="C109" i="5" s="1"/>
  <c r="C108" i="5" a="1"/>
  <c r="C108" i="5" s="1"/>
  <c r="C111" i="5" a="1"/>
  <c r="C111" i="5" s="1"/>
  <c r="C112" i="5" a="1"/>
  <c r="C112" i="5" s="1"/>
  <c r="J112" i="5" s="1"/>
  <c r="F17" i="4"/>
  <c r="G17" i="4" s="1"/>
  <c r="J25" i="4"/>
  <c r="S6" i="4" a="1"/>
  <c r="S6" i="4" s="1"/>
  <c r="S7" i="4" a="1"/>
  <c r="S7" i="4" s="1"/>
  <c r="C122" i="5" a="1"/>
  <c r="C122" i="5" s="1"/>
  <c r="C123" i="5" a="1"/>
  <c r="C123" i="5" s="1"/>
  <c r="C125" i="5" a="1"/>
  <c r="C125" i="5" s="1"/>
  <c r="C121" i="5" a="1"/>
  <c r="C121" i="5" s="1"/>
  <c r="J34" i="4"/>
  <c r="C157" i="5" a="1"/>
  <c r="C157" i="5" s="1"/>
  <c r="C154" i="5" a="1"/>
  <c r="C154" i="5" s="1"/>
  <c r="C155" i="5" a="1"/>
  <c r="C155" i="5" s="1"/>
  <c r="C158" i="5" a="1"/>
  <c r="C158" i="5" s="1"/>
  <c r="C159" i="5" a="1"/>
  <c r="C159" i="5" s="1"/>
  <c r="C156" i="5" a="1"/>
  <c r="C156" i="5" s="1"/>
  <c r="C113" i="5" a="1"/>
  <c r="C113" i="5" s="1"/>
  <c r="E113" i="5" s="1"/>
  <c r="E120" i="5"/>
  <c r="J120" i="5"/>
  <c r="E124" i="5"/>
  <c r="J124" i="5"/>
  <c r="C110" i="5" a="1"/>
  <c r="C110" i="5" s="1"/>
  <c r="J110" i="5" s="1"/>
  <c r="H10" i="4"/>
  <c r="Q5" i="4" s="1" a="1"/>
  <c r="Q5" i="4" s="1"/>
  <c r="G9" i="4"/>
  <c r="H9" i="4" s="1"/>
  <c r="R12" i="5" s="1"/>
  <c r="E115" i="5"/>
  <c r="J115" i="5"/>
  <c r="J114" i="5"/>
  <c r="E114" i="5"/>
  <c r="E119" i="5"/>
  <c r="J119" i="5"/>
  <c r="E118" i="5"/>
  <c r="J118" i="5"/>
  <c r="E117" i="5"/>
  <c r="J117" i="5"/>
  <c r="E116" i="5"/>
  <c r="J116" i="5"/>
  <c r="E112" i="5"/>
  <c r="E111" i="5"/>
  <c r="J111" i="5"/>
  <c r="J108" i="5"/>
  <c r="E108" i="5"/>
  <c r="H24" i="4"/>
  <c r="S5" i="4" s="1" a="1"/>
  <c r="S5" i="4" s="1"/>
  <c r="G23" i="4"/>
  <c r="H23" i="4" s="1"/>
  <c r="R14" i="5" s="1"/>
  <c r="J109" i="5"/>
  <c r="E109" i="5"/>
  <c r="E150" i="5"/>
  <c r="J150" i="5"/>
  <c r="E149" i="5"/>
  <c r="J149" i="5"/>
  <c r="J148" i="5"/>
  <c r="E148" i="5"/>
  <c r="E153" i="5"/>
  <c r="J153" i="5"/>
  <c r="E152" i="5"/>
  <c r="J152" i="5"/>
  <c r="E151" i="5"/>
  <c r="J151" i="5"/>
  <c r="E88" i="5"/>
  <c r="J88" i="5"/>
  <c r="E87" i="5"/>
  <c r="J87" i="5"/>
  <c r="E86" i="5"/>
  <c r="J86" i="5"/>
  <c r="E81" i="5"/>
  <c r="J81" i="5"/>
  <c r="E80" i="5"/>
  <c r="J80" i="5"/>
  <c r="E85" i="5"/>
  <c r="J85" i="5"/>
  <c r="E84" i="5"/>
  <c r="J84" i="5"/>
  <c r="E83" i="5"/>
  <c r="J83" i="5"/>
  <c r="E91" i="5"/>
  <c r="J91" i="5"/>
  <c r="E82" i="5"/>
  <c r="J82" i="5"/>
  <c r="E90" i="5"/>
  <c r="J90" i="5"/>
  <c r="E89" i="5"/>
  <c r="J89" i="5"/>
  <c r="E57" i="5"/>
  <c r="J57" i="5"/>
  <c r="E56" i="5"/>
  <c r="J56" i="5"/>
  <c r="E55" i="5"/>
  <c r="J55" i="5"/>
  <c r="E54" i="5"/>
  <c r="J54" i="5"/>
  <c r="E47" i="5"/>
  <c r="J47" i="5"/>
  <c r="J46" i="5"/>
  <c r="E46" i="5"/>
  <c r="E51" i="5"/>
  <c r="J51" i="5"/>
  <c r="E50" i="5"/>
  <c r="J50" i="5"/>
  <c r="E53" i="5"/>
  <c r="J53" i="5"/>
  <c r="E49" i="5"/>
  <c r="J49" i="5"/>
  <c r="J52" i="5"/>
  <c r="E52" i="5"/>
  <c r="E48" i="5"/>
  <c r="J48" i="5"/>
  <c r="J142" i="5"/>
  <c r="E142" i="5"/>
  <c r="E147" i="5"/>
  <c r="J147" i="5"/>
  <c r="E146" i="5"/>
  <c r="J146" i="5"/>
  <c r="E78" i="5"/>
  <c r="J78" i="5"/>
  <c r="E145" i="5"/>
  <c r="J145" i="5"/>
  <c r="E77" i="5"/>
  <c r="J77" i="5"/>
  <c r="E144" i="5"/>
  <c r="J144" i="5"/>
  <c r="E79" i="5"/>
  <c r="J79" i="5"/>
  <c r="E75" i="5"/>
  <c r="J75" i="5"/>
  <c r="E42" i="5"/>
  <c r="J42" i="5"/>
  <c r="J74" i="5"/>
  <c r="E74" i="5"/>
  <c r="E41" i="5"/>
  <c r="J41" i="5"/>
  <c r="E76" i="5"/>
  <c r="J76" i="5"/>
  <c r="J40" i="5"/>
  <c r="E40" i="5"/>
  <c r="E143" i="5"/>
  <c r="J143" i="5"/>
  <c r="E45" i="5"/>
  <c r="J45" i="5"/>
  <c r="C37" i="5" a="1"/>
  <c r="C37" i="5" s="1"/>
  <c r="C38" i="5" a="1"/>
  <c r="C38" i="5" s="1"/>
  <c r="C39" i="5" a="1"/>
  <c r="C39" i="5" s="1"/>
  <c r="C36" i="5" a="1"/>
  <c r="C36" i="5" s="1"/>
  <c r="E44" i="5"/>
  <c r="J44" i="5"/>
  <c r="E43" i="5"/>
  <c r="J43" i="5"/>
  <c r="C139" i="5" a="1"/>
  <c r="C139" i="5" s="1"/>
  <c r="C140" i="5" a="1"/>
  <c r="C140" i="5" s="1"/>
  <c r="C141" i="5" a="1"/>
  <c r="C141" i="5" s="1"/>
  <c r="J31" i="4"/>
  <c r="C138" i="5" a="1"/>
  <c r="C138" i="5" s="1"/>
  <c r="C3" i="5" a="1"/>
  <c r="C3" i="5" s="1"/>
  <c r="C2" i="5" a="1"/>
  <c r="C2" i="5" s="1"/>
  <c r="C4" i="5" a="1"/>
  <c r="C4" i="5" s="1"/>
  <c r="C5" i="5" a="1"/>
  <c r="C5" i="5" s="1"/>
  <c r="E5" i="5" s="1"/>
  <c r="E8" i="5"/>
  <c r="E16" i="5"/>
  <c r="J3" i="4"/>
  <c r="E12" i="5"/>
  <c r="J6" i="5"/>
  <c r="E14" i="5"/>
  <c r="E7" i="5"/>
  <c r="E10" i="5"/>
  <c r="J10" i="5"/>
  <c r="J15" i="5"/>
  <c r="E13" i="5"/>
  <c r="G2" i="4"/>
  <c r="H2" i="4" s="1"/>
  <c r="R11" i="5" s="1"/>
  <c r="J9" i="5"/>
  <c r="E9" i="5"/>
  <c r="J11" i="5"/>
  <c r="E11" i="5"/>
  <c r="E17" i="5"/>
  <c r="C106" i="5" l="1" a="1"/>
  <c r="C106" i="5" s="1"/>
  <c r="E106" i="5" s="1"/>
  <c r="H17" i="4"/>
  <c r="G16" i="4"/>
  <c r="H16" i="4" s="1"/>
  <c r="R13" i="5" s="1"/>
  <c r="V11" i="5" s="1"/>
  <c r="J10" i="4"/>
  <c r="J121" i="5"/>
  <c r="E121" i="5"/>
  <c r="E125" i="5"/>
  <c r="J125" i="5"/>
  <c r="E123" i="5"/>
  <c r="J123" i="5"/>
  <c r="E122" i="5"/>
  <c r="J122" i="5"/>
  <c r="E156" i="5"/>
  <c r="J156" i="5"/>
  <c r="E159" i="5"/>
  <c r="J159" i="5"/>
  <c r="E158" i="5"/>
  <c r="J158" i="5"/>
  <c r="E155" i="5"/>
  <c r="J155" i="5"/>
  <c r="J154" i="5"/>
  <c r="E154" i="5"/>
  <c r="E157" i="5"/>
  <c r="J157" i="5"/>
  <c r="E110" i="5"/>
  <c r="J113" i="5"/>
  <c r="J24" i="4"/>
  <c r="C104" i="5" a="1"/>
  <c r="C104" i="5" s="1"/>
  <c r="C105" i="5" a="1"/>
  <c r="C105" i="5" s="1"/>
  <c r="C107" i="5" a="1"/>
  <c r="C107" i="5" s="1"/>
  <c r="E138" i="5"/>
  <c r="J138" i="5"/>
  <c r="E141" i="5"/>
  <c r="J141" i="5"/>
  <c r="E140" i="5"/>
  <c r="J140" i="5"/>
  <c r="E139" i="5"/>
  <c r="J139" i="5"/>
  <c r="J36" i="5"/>
  <c r="E36" i="5"/>
  <c r="E39" i="5"/>
  <c r="J39" i="5"/>
  <c r="E38" i="5"/>
  <c r="J38" i="5"/>
  <c r="E37" i="5"/>
  <c r="J37" i="5"/>
  <c r="J5" i="5"/>
  <c r="J2" i="5"/>
  <c r="E2" i="5"/>
  <c r="E4" i="5"/>
  <c r="J4" i="5"/>
  <c r="J3" i="5"/>
  <c r="E3" i="5"/>
  <c r="J106" i="5" l="1"/>
  <c r="R5" i="4" a="1"/>
  <c r="R5" i="4" s="1"/>
  <c r="C70" i="5" a="1"/>
  <c r="C70" i="5" s="1"/>
  <c r="J17" i="4"/>
  <c r="C72" i="5" a="1"/>
  <c r="C72" i="5" s="1"/>
  <c r="C71" i="5" a="1"/>
  <c r="C71" i="5" s="1"/>
  <c r="C73" i="5" a="1"/>
  <c r="C73" i="5" s="1"/>
  <c r="K138" i="5"/>
  <c r="P15" i="5" s="1"/>
  <c r="E107" i="5"/>
  <c r="J107" i="5"/>
  <c r="E104" i="5"/>
  <c r="J104" i="5"/>
  <c r="E105" i="5"/>
  <c r="J105" i="5"/>
  <c r="K36" i="5"/>
  <c r="P12" i="5" s="1"/>
  <c r="K2" i="5"/>
  <c r="P11" i="5" s="1"/>
  <c r="M3" i="5"/>
  <c r="J73" i="5" l="1"/>
  <c r="E73" i="5"/>
  <c r="E71" i="5"/>
  <c r="J71" i="5"/>
  <c r="J72" i="5"/>
  <c r="E72" i="5"/>
  <c r="J70" i="5"/>
  <c r="K70" i="5" s="1"/>
  <c r="P13" i="5" s="1"/>
  <c r="E70" i="5"/>
  <c r="K104" i="5"/>
  <c r="P14" i="5" s="1"/>
  <c r="T1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<sst xmlns="http://schemas.openxmlformats.org/spreadsheetml/2006/main" count="96" uniqueCount="50">
  <si>
    <t>A1</t>
    <phoneticPr fontId="1" type="noConversion"/>
  </si>
  <si>
    <t>A2</t>
    <phoneticPr fontId="1" type="noConversion"/>
  </si>
  <si>
    <t>A3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</si>
  <si>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</si>
  <si>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</si>
  <si>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</si>
  <si>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</si>
  <si>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</si>
  <si>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</si>
  <si>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LC</t>
  </si>
  <si>
    <t>MC</t>
  </si>
  <si>
    <t>RC</t>
  </si>
  <si>
    <t>UR</t>
  </si>
  <si>
    <t>MR</t>
  </si>
  <si>
    <t>DR</t>
  </si>
  <si>
    <t>几格</t>
    <phoneticPr fontId="1" type="noConversion"/>
  </si>
  <si>
    <t>总球数</t>
    <phoneticPr fontId="1" type="noConversion"/>
  </si>
  <si>
    <t>扣掉得分更高的重复可能</t>
    <phoneticPr fontId="1" type="noConversion"/>
  </si>
  <si>
    <t>总可能</t>
    <phoneticPr fontId="1" type="noConversion"/>
  </si>
  <si>
    <t>几率</t>
    <phoneticPr fontId="1" type="noConversion"/>
  </si>
  <si>
    <t>倍率</t>
    <phoneticPr fontId="1" type="noConversion"/>
  </si>
  <si>
    <r>
      <rPr>
        <sz val="11"/>
        <color theme="1"/>
        <rFont val="微软雅黑"/>
        <family val="2"/>
        <charset val="136"/>
      </rPr>
      <t>RTP</t>
    </r>
    <r>
      <rPr>
        <sz val="11"/>
        <color theme="1"/>
        <rFont val="微软雅黑"/>
        <family val="2"/>
        <charset val="134"/>
      </rPr>
      <t>占比</t>
    </r>
    <phoneticPr fontId="1" type="noConversion"/>
  </si>
  <si>
    <t>重复几格</t>
    <phoneticPr fontId="1" type="noConversion"/>
  </si>
  <si>
    <t>额外倍率几率</t>
    <phoneticPr fontId="1" type="noConversion"/>
  </si>
  <si>
    <t>原始几率</t>
    <phoneticPr fontId="1" type="noConversion"/>
  </si>
  <si>
    <t>额外倍率</t>
    <phoneticPr fontId="1" type="noConversion"/>
  </si>
  <si>
    <t>原始倍率</t>
    <phoneticPr fontId="1" type="noConversion"/>
  </si>
  <si>
    <t>出现几率</t>
    <phoneticPr fontId="1" type="noConversion"/>
  </si>
  <si>
    <t>第一颗</t>
    <phoneticPr fontId="1" type="noConversion"/>
  </si>
  <si>
    <t>第二颗</t>
    <phoneticPr fontId="1" type="noConversion"/>
  </si>
  <si>
    <t>第三颗</t>
    <phoneticPr fontId="1" type="noConversion"/>
  </si>
  <si>
    <t>第四颗</t>
    <phoneticPr fontId="1" type="noConversion"/>
  </si>
  <si>
    <t>第五颗</t>
    <phoneticPr fontId="1" type="noConversion"/>
  </si>
  <si>
    <t>总倍率</t>
    <phoneticPr fontId="1" type="noConversion"/>
  </si>
  <si>
    <r>
      <t>出</t>
    </r>
    <r>
      <rPr>
        <sz val="11"/>
        <color theme="1"/>
        <rFont val="等线"/>
        <family val="2"/>
        <charset val="134"/>
      </rPr>
      <t>现</t>
    </r>
    <r>
      <rPr>
        <sz val="11"/>
        <color theme="1"/>
        <rFont val="Microsoft JhengHei"/>
        <family val="2"/>
      </rPr>
      <t>几率</t>
    </r>
    <phoneticPr fontId="1" type="noConversion"/>
  </si>
  <si>
    <t>取几</t>
    <phoneticPr fontId="1" type="noConversion"/>
  </si>
  <si>
    <t>choose</t>
    <phoneticPr fontId="1" type="noConversion"/>
  </si>
  <si>
    <t>slot</t>
    <phoneticPr fontId="1" type="noConversion"/>
  </si>
  <si>
    <t xml:space="preserve"> line</t>
    <phoneticPr fontId="1" type="noConversion"/>
  </si>
  <si>
    <t xml:space="preserve"> slot</t>
    <phoneticPr fontId="1" type="noConversion"/>
  </si>
  <si>
    <t>line</t>
    <phoneticPr fontId="1" type="noConversion"/>
  </si>
  <si>
    <t>combinations</t>
    <phoneticPr fontId="1" type="noConversion"/>
  </si>
  <si>
    <t>original combination</t>
    <phoneticPr fontId="1" type="noConversion"/>
  </si>
  <si>
    <t>RTP</t>
    <phoneticPr fontId="1" type="noConversion"/>
  </si>
  <si>
    <t>rtp</t>
    <phoneticPr fontId="1" type="noConversion"/>
  </si>
  <si>
    <t>prababilty</t>
    <phoneticPr fontId="1" type="noConversion"/>
  </si>
  <si>
    <t>total rtp</t>
    <phoneticPr fontId="1" type="noConversion"/>
  </si>
  <si>
    <t>hitrate</t>
    <phoneticPr fontId="1" type="noConversion"/>
  </si>
  <si>
    <t>total hitrate</t>
    <phoneticPr fontId="1" type="noConversion"/>
  </si>
  <si>
    <t>probability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</si>
</sst>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%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crosoft JhengHei"/>
      <family val="2"/>
      <charset val="136"/>
    </font>
    <font>
      <sz val="10"/>
      <color theme="1"/>
      <name val="等线"/>
      <family val="3"/>
      <charset val="134"/>
      <scheme val="minor"/>
    </font>
    <font>
      <sz val="11"/>
      <color theme="1"/>
      <name val="Microsoft JhengHei"/>
      <family val="2"/>
    </font>
    <font>
      <sz val="11"/>
      <color theme="1"/>
      <name val="微软雅黑"/>
      <family val="2"/>
      <charset val="136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176" fontId="2" fillId="0" borderId="0" xfId="0" applyNumberFormat="1" applyFont="1">
      <alignment vertical="center"/>
    </xf>
    <xf numFmtId="0" fontId="5" fillId="0" borderId="0" xfId="0" applyFont="1">
      <alignment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6FC3-D695-4B0B-A8BC-96B092CDBD4C}">
  <dimension ref="A1:V205"/>
  <sheetViews>
    <sheetView tabSelected="1" topLeftCell="D1" workbookViewId="0">
      <selection activeCell="K2" sqref="K2"/>
    </sheetView>
  </sheetViews>
  <sheetFormatPr defaultRowHeight="14.25" x14ac:dyDescent="0.2"/>
  <cols>
    <col min="3" max="3" width="13" bestFit="1" customWidth="1"/>
    <col min="4" max="5" width="39.5" customWidth="1"/>
    <col min="10" max="10" width="9" style="6"/>
    <col min="12" max="12" width="13" bestFit="1" customWidth="1"/>
    <col min="13" max="13" width="11.625" bestFit="1" customWidth="1"/>
    <col min="16" max="16" width="9" customWidth="1"/>
    <col min="17" max="17" width="12.75" bestFit="1" customWidth="1"/>
  </cols>
  <sheetData>
    <row r="1" spans="1:22" ht="16.5" x14ac:dyDescent="0.2">
      <c r="A1" t="s">
        <v>35</v>
      </c>
      <c r="B1" t="s">
        <v>15</v>
      </c>
      <c r="C1" s="8" t="s">
        <v>24</v>
      </c>
      <c r="D1" s="5" t="s">
        <v>23</v>
      </c>
      <c r="E1" s="5" t="s">
        <v>27</v>
      </c>
      <c r="F1" s="5" t="s">
        <v>22</v>
      </c>
      <c r="G1" s="5" t="s">
        <v>16</v>
      </c>
      <c r="H1" s="8" t="s">
        <v>25</v>
      </c>
      <c r="I1" s="8" t="s">
        <v>26</v>
      </c>
      <c r="J1" s="9" t="s">
        <v>21</v>
      </c>
      <c r="L1" t="s">
        <v>18</v>
      </c>
      <c r="M1">
        <f>COMBIN(G2,5)</f>
        <v>142506</v>
      </c>
    </row>
    <row r="2" spans="1:22" ht="16.5" x14ac:dyDescent="0.2">
      <c r="A2">
        <v>9</v>
      </c>
      <c r="B2">
        <v>3</v>
      </c>
      <c r="C2" cm="1">
        <f t="array" ref="C2">INDEX('rtp before multiplier'!H:H,MATCH(1,('rtp before multiplier'!A:A='total rtp'!A2)*('rtp before multiplier'!B:B='total rtp'!B2),0))</f>
        <v>0.10742516853461379</v>
      </c>
      <c r="D2">
        <f>COMBIN(G2-B2,5-F2)*COMBIN(B2,F2)/$M$1</f>
        <v>0.56650246305418717</v>
      </c>
      <c r="E2" s="7">
        <f>C2*D2</f>
        <v>6.0856622568869874E-2</v>
      </c>
      <c r="F2" s="5">
        <v>0</v>
      </c>
      <c r="G2" s="5">
        <v>30</v>
      </c>
      <c r="H2" s="8">
        <f>VLOOKUP(F2,$O$3:$P$8,2,FALSE)</f>
        <v>1</v>
      </c>
      <c r="I2">
        <v>2</v>
      </c>
      <c r="J2" s="6">
        <f>C2*D2*H2*I2</f>
        <v>0.12171324513773975</v>
      </c>
      <c r="K2" s="6">
        <f>SUM(J2:J35)</f>
        <v>0.62452038731632109</v>
      </c>
    </row>
    <row r="3" spans="1:22" ht="16.5" x14ac:dyDescent="0.2">
      <c r="A3">
        <v>9</v>
      </c>
      <c r="B3">
        <v>3</v>
      </c>
      <c r="C3" cm="1">
        <f t="array" ref="C3">INDEX('rtp before multiplier'!H:H,MATCH(1,('rtp before multiplier'!A:A='total rtp'!A3)*('rtp before multiplier'!B:B='total rtp'!B3),0))</f>
        <v>0.10742516853461379</v>
      </c>
      <c r="D3">
        <f>COMBIN(G3-B3,5-F3)*COMBIN(B3,F3)/$M$1</f>
        <v>0.36945812807881773</v>
      </c>
      <c r="E3" s="7">
        <f t="shared" ref="E3:E35" si="0">C3*D3</f>
        <v>3.9689101675349919E-2</v>
      </c>
      <c r="F3">
        <v>1</v>
      </c>
      <c r="G3" s="5">
        <v>30</v>
      </c>
      <c r="H3" s="8">
        <f t="shared" ref="H3:H35" si="1">VLOOKUP(F3,$O$3:$P$8,2,FALSE)</f>
        <v>2.76</v>
      </c>
      <c r="I3">
        <v>2</v>
      </c>
      <c r="J3" s="6">
        <f t="shared" ref="J3:J35" si="2">C3*D3*H3*I3</f>
        <v>0.21908384124793154</v>
      </c>
      <c r="M3">
        <f>SUM(J2:J35)</f>
        <v>0.62452038731632109</v>
      </c>
      <c r="O3">
        <v>0</v>
      </c>
      <c r="P3">
        <f>1</f>
        <v>1</v>
      </c>
    </row>
    <row r="4" spans="1:22" ht="16.5" x14ac:dyDescent="0.2">
      <c r="A4">
        <v>9</v>
      </c>
      <c r="B4">
        <v>3</v>
      </c>
      <c r="C4" cm="1">
        <f t="array" ref="C4">INDEX('rtp before multiplier'!H:H,MATCH(1,('rtp before multiplier'!A:A='total rtp'!A4)*('rtp before multiplier'!B:B='total rtp'!B4),0))</f>
        <v>0.10742516853461379</v>
      </c>
      <c r="D4">
        <f t="shared" ref="D4:D35" si="3">COMBIN(G4-B4,5-F4)*COMBIN(B4,F4)/$M$1</f>
        <v>6.1576354679802957E-2</v>
      </c>
      <c r="E4" s="7">
        <f t="shared" si="0"/>
        <v>6.6148502792249871E-3</v>
      </c>
      <c r="F4">
        <v>2</v>
      </c>
      <c r="G4" s="5">
        <v>30</v>
      </c>
      <c r="H4" s="8">
        <f t="shared" si="1"/>
        <v>7.6176000000000004</v>
      </c>
      <c r="I4">
        <v>2</v>
      </c>
      <c r="J4" s="6">
        <f t="shared" si="2"/>
        <v>0.10077856697404852</v>
      </c>
      <c r="O4">
        <v>1</v>
      </c>
      <c r="P4">
        <f>multipier!I1</f>
        <v>2.76</v>
      </c>
    </row>
    <row r="5" spans="1:22" ht="16.5" x14ac:dyDescent="0.2">
      <c r="A5">
        <v>9</v>
      </c>
      <c r="B5">
        <v>3</v>
      </c>
      <c r="C5" cm="1">
        <f t="array" ref="C5">INDEX('rtp before multiplier'!H:H,MATCH(1,('rtp before multiplier'!A:A='total rtp'!A5)*('rtp before multiplier'!B:B='total rtp'!B5),0))</f>
        <v>0.10742516853461379</v>
      </c>
      <c r="D5">
        <f t="shared" si="3"/>
        <v>2.4630541871921183E-3</v>
      </c>
      <c r="E5" s="7">
        <f t="shared" si="0"/>
        <v>2.6459401116899948E-4</v>
      </c>
      <c r="F5">
        <v>3</v>
      </c>
      <c r="G5" s="5">
        <v>30</v>
      </c>
      <c r="H5" s="8">
        <f t="shared" si="1"/>
        <v>21.024576000000003</v>
      </c>
      <c r="I5">
        <v>2</v>
      </c>
      <c r="J5" s="6">
        <f t="shared" si="2"/>
        <v>1.1125953793934959E-2</v>
      </c>
      <c r="O5">
        <v>2</v>
      </c>
      <c r="P5">
        <f>multipier!P1</f>
        <v>7.6176000000000004</v>
      </c>
    </row>
    <row r="6" spans="1:22" ht="16.5" x14ac:dyDescent="0.2">
      <c r="A6">
        <v>9</v>
      </c>
      <c r="B6">
        <v>5</v>
      </c>
      <c r="C6" cm="1">
        <f t="array" ref="C6">INDEX('rtp before multiplier'!H:H,MATCH(1,('rtp before multiplier'!A:A='total rtp'!A6)*('rtp before multiplier'!B:B='total rtp'!B6),0))</f>
        <v>7.3756827879766403E-3</v>
      </c>
      <c r="D6">
        <f t="shared" si="3"/>
        <v>0.37282640730916589</v>
      </c>
      <c r="E6" s="7">
        <f t="shared" si="0"/>
        <v>2.7498493152933829E-3</v>
      </c>
      <c r="F6">
        <v>0</v>
      </c>
      <c r="G6" s="5">
        <v>30</v>
      </c>
      <c r="H6" s="8">
        <f t="shared" si="1"/>
        <v>1</v>
      </c>
      <c r="I6">
        <v>5</v>
      </c>
      <c r="J6" s="6">
        <f t="shared" si="2"/>
        <v>1.3749246576466916E-2</v>
      </c>
      <c r="O6">
        <v>3</v>
      </c>
      <c r="P6">
        <f>multipier!X1</f>
        <v>21.024576000000003</v>
      </c>
    </row>
    <row r="7" spans="1:22" ht="16.5" x14ac:dyDescent="0.2">
      <c r="A7">
        <v>9</v>
      </c>
      <c r="B7">
        <v>5</v>
      </c>
      <c r="C7" cm="1">
        <f t="array" ref="C7">INDEX('rtp before multiplier'!H:H,MATCH(1,('rtp before multiplier'!A:A='total rtp'!A7)*('rtp before multiplier'!B:B='total rtp'!B7),0))</f>
        <v>7.3756827879766403E-3</v>
      </c>
      <c r="D7">
        <f t="shared" si="3"/>
        <v>0.44384096108234045</v>
      </c>
      <c r="E7" s="7">
        <f t="shared" si="0"/>
        <v>3.2736301372540285E-3</v>
      </c>
      <c r="F7">
        <v>1</v>
      </c>
      <c r="G7" s="5">
        <v>30</v>
      </c>
      <c r="H7" s="8">
        <f t="shared" si="1"/>
        <v>2.76</v>
      </c>
      <c r="I7">
        <v>5</v>
      </c>
      <c r="J7" s="6">
        <f t="shared" si="2"/>
        <v>4.5176095894105595E-2</v>
      </c>
      <c r="M7" s="6"/>
      <c r="O7">
        <v>4</v>
      </c>
      <c r="P7">
        <f>multipier!AG1</f>
        <v>58.027829760000024</v>
      </c>
    </row>
    <row r="8" spans="1:22" ht="16.5" x14ac:dyDescent="0.2">
      <c r="A8">
        <v>9</v>
      </c>
      <c r="B8">
        <v>5</v>
      </c>
      <c r="C8" cm="1">
        <f t="array" ref="C8">INDEX('rtp before multiplier'!H:H,MATCH(1,('rtp before multiplier'!A:A='total rtp'!A8)*('rtp before multiplier'!B:B='total rtp'!B8),0))</f>
        <v>7.3756827879766403E-3</v>
      </c>
      <c r="D8">
        <f t="shared" si="3"/>
        <v>0.16139671312085105</v>
      </c>
      <c r="E8" s="7">
        <f t="shared" si="0"/>
        <v>1.1904109590014646E-3</v>
      </c>
      <c r="F8">
        <v>2</v>
      </c>
      <c r="G8" s="5">
        <v>30</v>
      </c>
      <c r="H8" s="8">
        <f t="shared" si="1"/>
        <v>7.6176000000000004</v>
      </c>
      <c r="I8">
        <v>5</v>
      </c>
      <c r="J8" s="6">
        <f t="shared" si="2"/>
        <v>4.5340372606447785E-2</v>
      </c>
      <c r="M8" s="6"/>
      <c r="O8">
        <v>5</v>
      </c>
      <c r="P8">
        <f>multipier!AQ1</f>
        <v>160.1568101375999</v>
      </c>
    </row>
    <row r="9" spans="1:22" ht="16.5" x14ac:dyDescent="0.2">
      <c r="A9">
        <v>9</v>
      </c>
      <c r="B9">
        <v>5</v>
      </c>
      <c r="C9" cm="1">
        <f t="array" ref="C9">INDEX('rtp before multiplier'!H:H,MATCH(1,('rtp before multiplier'!A:A='total rtp'!A9)*('rtp before multiplier'!B:B='total rtp'!B9),0))</f>
        <v>7.3756827879766403E-3</v>
      </c>
      <c r="D9">
        <f t="shared" si="3"/>
        <v>2.1051745189676223E-2</v>
      </c>
      <c r="E9" s="7">
        <f t="shared" si="0"/>
        <v>1.5527099465236494E-4</v>
      </c>
      <c r="F9">
        <v>3</v>
      </c>
      <c r="G9" s="5">
        <v>30</v>
      </c>
      <c r="H9" s="8">
        <f t="shared" si="1"/>
        <v>21.024576000000003</v>
      </c>
      <c r="I9">
        <v>5</v>
      </c>
      <c r="J9" s="6">
        <f t="shared" si="2"/>
        <v>1.6322534138321205E-2</v>
      </c>
      <c r="M9" s="6"/>
    </row>
    <row r="10" spans="1:22" ht="16.5" x14ac:dyDescent="0.2">
      <c r="A10">
        <v>9</v>
      </c>
      <c r="B10">
        <v>5</v>
      </c>
      <c r="C10" cm="1">
        <f t="array" ref="C10">INDEX('rtp before multiplier'!H:H,MATCH(1,('rtp before multiplier'!A:A='total rtp'!A10)*('rtp before multiplier'!B:B='total rtp'!B10),0))</f>
        <v>7.3756827879766403E-3</v>
      </c>
      <c r="D10">
        <f t="shared" si="3"/>
        <v>8.7715604956984273E-4</v>
      </c>
      <c r="E10" s="7">
        <f t="shared" si="0"/>
        <v>6.4696247771818735E-6</v>
      </c>
      <c r="F10">
        <v>4</v>
      </c>
      <c r="G10" s="5">
        <v>30</v>
      </c>
      <c r="H10" s="8">
        <f t="shared" si="1"/>
        <v>58.027829760000024</v>
      </c>
      <c r="I10">
        <v>5</v>
      </c>
      <c r="J10" s="6">
        <f t="shared" si="2"/>
        <v>1.8770914259069393E-3</v>
      </c>
      <c r="M10" s="6"/>
      <c r="P10" s="5" t="s">
        <v>44</v>
      </c>
      <c r="Q10" s="5" t="s">
        <v>45</v>
      </c>
      <c r="R10" s="5" t="s">
        <v>47</v>
      </c>
      <c r="T10" s="5" t="s">
        <v>46</v>
      </c>
      <c r="V10" s="5" t="s">
        <v>48</v>
      </c>
    </row>
    <row r="11" spans="1:22" ht="16.5" x14ac:dyDescent="0.2">
      <c r="A11">
        <v>9</v>
      </c>
      <c r="B11">
        <v>5</v>
      </c>
      <c r="C11" cm="1">
        <f t="array" ref="C11">INDEX('rtp before multiplier'!H:H,MATCH(1,('rtp before multiplier'!A:A='total rtp'!A11)*('rtp before multiplier'!B:B='total rtp'!B11),0))</f>
        <v>7.3756827879766403E-3</v>
      </c>
      <c r="D11">
        <f t="shared" si="3"/>
        <v>7.0172483965587412E-6</v>
      </c>
      <c r="E11" s="7">
        <f t="shared" si="0"/>
        <v>5.1756998217454988E-8</v>
      </c>
      <c r="F11">
        <v>5</v>
      </c>
      <c r="G11" s="5">
        <v>30</v>
      </c>
      <c r="H11" s="8">
        <f t="shared" si="1"/>
        <v>160.1568101375999</v>
      </c>
      <c r="I11">
        <v>5</v>
      </c>
      <c r="J11" s="6">
        <f t="shared" si="2"/>
        <v>4.144617868402518E-5</v>
      </c>
      <c r="M11" s="6"/>
      <c r="O11">
        <v>9</v>
      </c>
      <c r="P11" s="6">
        <f>$K$2</f>
        <v>0.62452038731632109</v>
      </c>
      <c r="Q11">
        <f>22/31</f>
        <v>0.70967741935483875</v>
      </c>
      <c r="R11">
        <f>1-'rtp before multiplier'!H2</f>
        <v>0.1156360980348986</v>
      </c>
      <c r="T11">
        <f>SUMPRODUCT(P11:P15,Q11:Q15)</f>
        <v>0.9610389303470076</v>
      </c>
      <c r="V11">
        <f>SUMPRODUCT(R11:R15,Q11:Q15)</f>
        <v>0.14630904109029563</v>
      </c>
    </row>
    <row r="12" spans="1:22" ht="16.5" x14ac:dyDescent="0.2">
      <c r="A12">
        <v>9</v>
      </c>
      <c r="B12">
        <v>6</v>
      </c>
      <c r="C12" cm="1">
        <f t="array" ref="C12">INDEX('rtp before multiplier'!H:H,MATCH(1,('rtp before multiplier'!A:A='total rtp'!A12)*('rtp before multiplier'!B:B='total rtp'!B12),0))</f>
        <v>5.5776307650370622E-4</v>
      </c>
      <c r="D12">
        <f t="shared" si="3"/>
        <v>0.29826112584733272</v>
      </c>
      <c r="E12" s="7">
        <f t="shared" si="0"/>
        <v>1.6635904315406738E-4</v>
      </c>
      <c r="F12">
        <v>0</v>
      </c>
      <c r="G12" s="5">
        <v>30</v>
      </c>
      <c r="H12" s="8">
        <f t="shared" si="1"/>
        <v>1</v>
      </c>
      <c r="I12">
        <v>5</v>
      </c>
      <c r="J12" s="6">
        <f t="shared" si="2"/>
        <v>8.317952157703369E-4</v>
      </c>
      <c r="M12" s="6"/>
      <c r="O12">
        <v>10</v>
      </c>
      <c r="P12" s="6">
        <f>$K$36</f>
        <v>0.98794165288781599</v>
      </c>
      <c r="Q12">
        <f>9/31*0.3</f>
        <v>8.7096774193548387E-2</v>
      </c>
      <c r="R12">
        <f>1-'rtp before multiplier'!H9</f>
        <v>0.16029527693695611</v>
      </c>
    </row>
    <row r="13" spans="1:22" ht="16.5" x14ac:dyDescent="0.2">
      <c r="A13">
        <v>9</v>
      </c>
      <c r="B13">
        <v>6</v>
      </c>
      <c r="C13" cm="1">
        <f t="array" ref="C13">INDEX('rtp before multiplier'!H:H,MATCH(1,('rtp before multiplier'!A:A='total rtp'!A13)*('rtp before multiplier'!B:B='total rtp'!B13),0))</f>
        <v>5.5776307650370622E-4</v>
      </c>
      <c r="D13">
        <f t="shared" si="3"/>
        <v>0.44739168877099911</v>
      </c>
      <c r="E13" s="7">
        <f t="shared" si="0"/>
        <v>2.4953856473110112E-4</v>
      </c>
      <c r="F13">
        <v>1</v>
      </c>
      <c r="G13" s="5">
        <v>30</v>
      </c>
      <c r="H13" s="8">
        <f t="shared" si="1"/>
        <v>2.76</v>
      </c>
      <c r="I13">
        <v>5</v>
      </c>
      <c r="J13" s="6">
        <f t="shared" si="2"/>
        <v>3.4436321932891953E-3</v>
      </c>
      <c r="O13">
        <v>11</v>
      </c>
      <c r="P13" s="6">
        <f>$K$70</f>
        <v>1.5511061046723815</v>
      </c>
      <c r="Q13">
        <f>9/31*0.4</f>
        <v>0.11612903225806454</v>
      </c>
      <c r="R13">
        <f>1-'rtp before multiplier'!H16</f>
        <v>0.21266410750668618</v>
      </c>
    </row>
    <row r="14" spans="1:22" ht="16.5" x14ac:dyDescent="0.2">
      <c r="A14">
        <v>9</v>
      </c>
      <c r="B14">
        <v>6</v>
      </c>
      <c r="C14" cm="1">
        <f t="array" ref="C14">INDEX('rtp before multiplier'!H:H,MATCH(1,('rtp before multiplier'!A:A='total rtp'!A14)*('rtp before multiplier'!B:B='total rtp'!B14),0))</f>
        <v>5.5776307650370622E-4</v>
      </c>
      <c r="D14">
        <f t="shared" si="3"/>
        <v>0.2130436613195234</v>
      </c>
      <c r="E14" s="7">
        <f t="shared" si="0"/>
        <v>1.1882788796719101E-4</v>
      </c>
      <c r="F14">
        <v>2</v>
      </c>
      <c r="G14" s="5">
        <v>30</v>
      </c>
      <c r="H14" s="8">
        <f t="shared" si="1"/>
        <v>7.6176000000000004</v>
      </c>
      <c r="I14">
        <v>5</v>
      </c>
      <c r="J14" s="6">
        <f t="shared" si="2"/>
        <v>4.5259165968943712E-3</v>
      </c>
      <c r="O14">
        <v>12</v>
      </c>
      <c r="P14" s="6">
        <f>K104</f>
        <v>2.430887149416201</v>
      </c>
      <c r="Q14">
        <f>9/31*0.2</f>
        <v>5.8064516129032268E-2</v>
      </c>
      <c r="R14">
        <f>1-'rtp before multiplier'!H23</f>
        <v>0.27202420767638158</v>
      </c>
    </row>
    <row r="15" spans="1:22" ht="16.5" x14ac:dyDescent="0.2">
      <c r="A15">
        <v>9</v>
      </c>
      <c r="B15">
        <v>6</v>
      </c>
      <c r="C15" cm="1">
        <f t="array" ref="C15">INDEX('rtp before multiplier'!H:H,MATCH(1,('rtp before multiplier'!A:A='total rtp'!A15)*('rtp before multiplier'!B:B='total rtp'!B15),0))</f>
        <v>5.5776307650370622E-4</v>
      </c>
      <c r="D15">
        <f t="shared" si="3"/>
        <v>3.8735211149004252E-2</v>
      </c>
      <c r="E15" s="7">
        <f t="shared" si="0"/>
        <v>2.1605070539489272E-5</v>
      </c>
      <c r="F15">
        <v>3</v>
      </c>
      <c r="G15" s="5">
        <v>30</v>
      </c>
      <c r="H15" s="8">
        <f t="shared" si="1"/>
        <v>21.024576000000003</v>
      </c>
      <c r="I15">
        <v>5</v>
      </c>
      <c r="J15" s="6">
        <f t="shared" si="2"/>
        <v>2.2711872377142663E-3</v>
      </c>
      <c r="O15">
        <v>13</v>
      </c>
      <c r="P15" s="6">
        <f>K138</f>
        <v>3.8063744569236975</v>
      </c>
      <c r="Q15">
        <f>9/31*0.1</f>
        <v>2.9032258064516134E-2</v>
      </c>
      <c r="R15">
        <f>1-'rtp before multiplier'!H30</f>
        <v>0.33728278717783966</v>
      </c>
    </row>
    <row r="16" spans="1:22" ht="16.5" x14ac:dyDescent="0.2">
      <c r="A16">
        <v>9</v>
      </c>
      <c r="B16">
        <v>6</v>
      </c>
      <c r="C16" cm="1">
        <f t="array" ref="C16">INDEX('rtp before multiplier'!H:H,MATCH(1,('rtp before multiplier'!A:A='total rtp'!A16)*('rtp before multiplier'!B:B='total rtp'!B16),0))</f>
        <v>5.5776307650370622E-4</v>
      </c>
      <c r="D16">
        <f t="shared" si="3"/>
        <v>2.526209422761147E-3</v>
      </c>
      <c r="E16" s="7">
        <f t="shared" si="0"/>
        <v>1.4090263395319091E-6</v>
      </c>
      <c r="F16">
        <v>4</v>
      </c>
      <c r="G16" s="5">
        <v>30</v>
      </c>
      <c r="H16" s="8">
        <f t="shared" si="1"/>
        <v>58.027829760000024</v>
      </c>
      <c r="I16">
        <v>5</v>
      </c>
      <c r="J16" s="6">
        <f t="shared" si="2"/>
        <v>4.0881370278856807E-4</v>
      </c>
    </row>
    <row r="17" spans="1:10" ht="16.5" x14ac:dyDescent="0.2">
      <c r="A17">
        <v>9</v>
      </c>
      <c r="B17">
        <v>6</v>
      </c>
      <c r="C17" cm="1">
        <f t="array" ref="C17">INDEX('rtp before multiplier'!H:H,MATCH(1,('rtp before multiplier'!A:A='total rtp'!A17)*('rtp before multiplier'!B:B='total rtp'!B17),0))</f>
        <v>5.5776307650370622E-4</v>
      </c>
      <c r="D17">
        <f t="shared" si="3"/>
        <v>4.2103490379352447E-5</v>
      </c>
      <c r="E17" s="7">
        <f t="shared" si="0"/>
        <v>2.3483772325531819E-8</v>
      </c>
      <c r="F17">
        <v>5</v>
      </c>
      <c r="G17" s="5">
        <v>30</v>
      </c>
      <c r="H17" s="8">
        <f t="shared" si="1"/>
        <v>160.1568101375999</v>
      </c>
      <c r="I17">
        <v>5</v>
      </c>
      <c r="J17" s="6">
        <f t="shared" si="2"/>
        <v>1.8805430328274114E-5</v>
      </c>
    </row>
    <row r="18" spans="1:10" ht="16.5" x14ac:dyDescent="0.2">
      <c r="A18">
        <v>9</v>
      </c>
      <c r="B18">
        <v>7</v>
      </c>
      <c r="C18" cm="1">
        <f t="array" ref="C18">INDEX('rtp before multiplier'!H:H,MATCH(1,('rtp before multiplier'!A:A='total rtp'!A18)*('rtp before multiplier'!B:B='total rtp'!B18),0))</f>
        <v>2.642035625543871E-4</v>
      </c>
      <c r="D18">
        <f t="shared" si="3"/>
        <v>0.23612339129580515</v>
      </c>
      <c r="E18" s="7">
        <f t="shared" si="0"/>
        <v>6.2384641182775281E-5</v>
      </c>
      <c r="F18">
        <v>0</v>
      </c>
      <c r="G18" s="5">
        <v>30</v>
      </c>
      <c r="H18" s="8">
        <f t="shared" si="1"/>
        <v>1</v>
      </c>
      <c r="I18">
        <v>25</v>
      </c>
      <c r="J18" s="6">
        <f t="shared" si="2"/>
        <v>1.5596160295693821E-3</v>
      </c>
    </row>
    <row r="19" spans="1:10" ht="16.5" x14ac:dyDescent="0.2">
      <c r="A19">
        <v>9</v>
      </c>
      <c r="B19">
        <v>7</v>
      </c>
      <c r="C19" cm="1">
        <f t="array" ref="C19">INDEX('rtp before multiplier'!H:H,MATCH(1,('rtp before multiplier'!A:A='total rtp'!A19)*('rtp before multiplier'!B:B='total rtp'!B19),0))</f>
        <v>2.642035625543871E-4</v>
      </c>
      <c r="D19">
        <f t="shared" si="3"/>
        <v>0.4349641418606936</v>
      </c>
      <c r="E19" s="7">
        <f t="shared" si="0"/>
        <v>1.1491907586300707E-4</v>
      </c>
      <c r="F19">
        <v>1</v>
      </c>
      <c r="G19" s="5">
        <v>30</v>
      </c>
      <c r="H19" s="8">
        <f t="shared" si="1"/>
        <v>2.76</v>
      </c>
      <c r="I19">
        <v>25</v>
      </c>
      <c r="J19" s="6">
        <f t="shared" si="2"/>
        <v>7.9294162345474872E-3</v>
      </c>
    </row>
    <row r="20" spans="1:10" ht="16.5" x14ac:dyDescent="0.2">
      <c r="A20">
        <v>9</v>
      </c>
      <c r="B20">
        <v>7</v>
      </c>
      <c r="C20" cm="1">
        <f t="array" ref="C20">INDEX('rtp before multiplier'!H:H,MATCH(1,('rtp before multiplier'!A:A='total rtp'!A20)*('rtp before multiplier'!B:B='total rtp'!B20),0))</f>
        <v>2.642035625543871E-4</v>
      </c>
      <c r="D20">
        <f t="shared" si="3"/>
        <v>0.26097848511641614</v>
      </c>
      <c r="E20" s="7">
        <f t="shared" si="0"/>
        <v>6.8951445517804232E-5</v>
      </c>
      <c r="F20">
        <v>2</v>
      </c>
      <c r="G20" s="5">
        <v>30</v>
      </c>
      <c r="H20" s="8">
        <f t="shared" si="1"/>
        <v>7.6176000000000004</v>
      </c>
      <c r="I20">
        <v>25</v>
      </c>
      <c r="J20" s="6">
        <f t="shared" si="2"/>
        <v>1.3131113284410637E-2</v>
      </c>
    </row>
    <row r="21" spans="1:10" ht="16.5" x14ac:dyDescent="0.2">
      <c r="A21">
        <v>9</v>
      </c>
      <c r="B21">
        <v>7</v>
      </c>
      <c r="C21" cm="1">
        <f t="array" ref="C21">INDEX('rtp before multiplier'!H:H,MATCH(1,('rtp before multiplier'!A:A='total rtp'!A21)*('rtp before multiplier'!B:B='total rtp'!B21),0))</f>
        <v>2.642035625543871E-4</v>
      </c>
      <c r="D21">
        <f t="shared" si="3"/>
        <v>6.2137734551527657E-2</v>
      </c>
      <c r="E21" s="7">
        <f t="shared" si="0"/>
        <v>1.6417010837572439E-5</v>
      </c>
      <c r="F21">
        <v>3</v>
      </c>
      <c r="G21" s="5">
        <v>30</v>
      </c>
      <c r="H21" s="8">
        <f t="shared" si="1"/>
        <v>21.024576000000003</v>
      </c>
      <c r="I21">
        <v>25</v>
      </c>
      <c r="J21" s="6">
        <f t="shared" si="2"/>
        <v>8.6290173011841359E-3</v>
      </c>
    </row>
    <row r="22" spans="1:10" ht="16.5" x14ac:dyDescent="0.2">
      <c r="A22">
        <v>9</v>
      </c>
      <c r="B22">
        <v>7</v>
      </c>
      <c r="C22" cm="1">
        <f t="array" ref="C22">INDEX('rtp before multiplier'!H:H,MATCH(1,('rtp before multiplier'!A:A='total rtp'!A22)*('rtp before multiplier'!B:B='total rtp'!B22),0))</f>
        <v>2.642035625543871E-4</v>
      </c>
      <c r="D22">
        <f t="shared" si="3"/>
        <v>5.6488849592297866E-3</v>
      </c>
      <c r="E22" s="7">
        <f t="shared" si="0"/>
        <v>1.4924555306884033E-6</v>
      </c>
      <c r="F22">
        <v>4</v>
      </c>
      <c r="G22" s="5">
        <v>30</v>
      </c>
      <c r="H22" s="8">
        <f t="shared" si="1"/>
        <v>58.027829760000024</v>
      </c>
      <c r="I22">
        <v>25</v>
      </c>
      <c r="J22" s="6">
        <f t="shared" si="2"/>
        <v>2.1650988864789287E-3</v>
      </c>
    </row>
    <row r="23" spans="1:10" ht="16.5" x14ac:dyDescent="0.2">
      <c r="A23">
        <v>9</v>
      </c>
      <c r="B23">
        <v>7</v>
      </c>
      <c r="C23" cm="1">
        <f t="array" ref="C23">INDEX('rtp before multiplier'!H:H,MATCH(1,('rtp before multiplier'!A:A='total rtp'!A23)*('rtp before multiplier'!B:B='total rtp'!B23),0))</f>
        <v>2.642035625543871E-4</v>
      </c>
      <c r="D23">
        <f t="shared" si="3"/>
        <v>1.4736221632773356E-4</v>
      </c>
      <c r="E23" s="7">
        <f t="shared" si="0"/>
        <v>3.893362253969748E-8</v>
      </c>
      <c r="F23">
        <v>5</v>
      </c>
      <c r="G23" s="5">
        <v>30</v>
      </c>
      <c r="H23" s="8">
        <f t="shared" si="1"/>
        <v>160.1568101375999</v>
      </c>
      <c r="I23">
        <v>25</v>
      </c>
      <c r="J23" s="6">
        <f t="shared" si="2"/>
        <v>1.5588711982648273E-4</v>
      </c>
    </row>
    <row r="24" spans="1:10" ht="16.5" x14ac:dyDescent="0.2">
      <c r="A24">
        <v>9</v>
      </c>
      <c r="B24">
        <v>8</v>
      </c>
      <c r="C24" cm="1">
        <f t="array" ref="C24">INDEX('rtp before multiplier'!H:H,MATCH(1,('rtp before multiplier'!A:A='total rtp'!A24)*('rtp before multiplier'!B:B='total rtp'!B24),0))</f>
        <v>1.3210178127719354E-5</v>
      </c>
      <c r="D24">
        <f t="shared" si="3"/>
        <v>0.18479221927497791</v>
      </c>
      <c r="E24" s="7">
        <f t="shared" si="0"/>
        <v>2.4411381332390318E-6</v>
      </c>
      <c r="F24">
        <v>0</v>
      </c>
      <c r="G24" s="5">
        <v>30</v>
      </c>
      <c r="H24" s="8">
        <f t="shared" si="1"/>
        <v>1</v>
      </c>
      <c r="I24">
        <v>50</v>
      </c>
      <c r="J24" s="6">
        <f t="shared" si="2"/>
        <v>1.220569066619516E-4</v>
      </c>
    </row>
    <row r="25" spans="1:10" ht="16.5" x14ac:dyDescent="0.2">
      <c r="A25">
        <v>9</v>
      </c>
      <c r="B25">
        <v>8</v>
      </c>
      <c r="C25" cm="1">
        <f t="array" ref="C25">INDEX('rtp before multiplier'!H:H,MATCH(1,('rtp before multiplier'!A:A='total rtp'!A25)*('rtp before multiplier'!B:B='total rtp'!B25),0))</f>
        <v>1.3210178127719354E-5</v>
      </c>
      <c r="D25">
        <f t="shared" si="3"/>
        <v>0.41064937616661756</v>
      </c>
      <c r="E25" s="7">
        <f t="shared" si="0"/>
        <v>5.4247514071978488E-6</v>
      </c>
      <c r="F25">
        <v>1</v>
      </c>
      <c r="G25" s="5">
        <v>30</v>
      </c>
      <c r="H25" s="8">
        <f t="shared" si="1"/>
        <v>2.76</v>
      </c>
      <c r="I25">
        <v>50</v>
      </c>
      <c r="J25" s="6">
        <f t="shared" si="2"/>
        <v>7.486156941933031E-4</v>
      </c>
    </row>
    <row r="26" spans="1:10" ht="16.5" x14ac:dyDescent="0.2">
      <c r="A26">
        <v>9</v>
      </c>
      <c r="B26">
        <v>8</v>
      </c>
      <c r="C26" cm="1">
        <f t="array" ref="C26">INDEX('rtp before multiplier'!H:H,MATCH(1,('rtp before multiplier'!A:A='total rtp'!A26)*('rtp before multiplier'!B:B='total rtp'!B26),0))</f>
        <v>1.3210178127719354E-5</v>
      </c>
      <c r="D26">
        <f t="shared" si="3"/>
        <v>0.30258375085961292</v>
      </c>
      <c r="E26" s="7">
        <f t="shared" si="0"/>
        <v>3.9971852474089407E-6</v>
      </c>
      <c r="F26">
        <v>2</v>
      </c>
      <c r="G26" s="5">
        <v>30</v>
      </c>
      <c r="H26" s="8">
        <f t="shared" si="1"/>
        <v>7.6176000000000004</v>
      </c>
      <c r="I26">
        <v>50</v>
      </c>
      <c r="J26" s="6">
        <f t="shared" si="2"/>
        <v>1.5224479170331173E-3</v>
      </c>
    </row>
    <row r="27" spans="1:10" ht="16.5" x14ac:dyDescent="0.2">
      <c r="A27">
        <v>9</v>
      </c>
      <c r="B27">
        <v>8</v>
      </c>
      <c r="C27" cm="1">
        <f t="array" ref="C27">INDEX('rtp before multiplier'!H:H,MATCH(1,('rtp before multiplier'!A:A='total rtp'!A27)*('rtp before multiplier'!B:B='total rtp'!B27),0))</f>
        <v>1.3210178127719354E-5</v>
      </c>
      <c r="D27">
        <f t="shared" si="3"/>
        <v>9.0775125257883879E-2</v>
      </c>
      <c r="E27" s="7">
        <f t="shared" si="0"/>
        <v>1.1991555742226823E-6</v>
      </c>
      <c r="F27">
        <v>3</v>
      </c>
      <c r="G27" s="5">
        <v>30</v>
      </c>
      <c r="H27" s="8">
        <f t="shared" si="1"/>
        <v>21.024576000000003</v>
      </c>
      <c r="I27">
        <v>50</v>
      </c>
      <c r="J27" s="6">
        <f t="shared" si="2"/>
        <v>1.2605868753034215E-3</v>
      </c>
    </row>
    <row r="28" spans="1:10" ht="16.5" x14ac:dyDescent="0.2">
      <c r="A28">
        <v>9</v>
      </c>
      <c r="B28">
        <v>8</v>
      </c>
      <c r="C28" cm="1">
        <f t="array" ref="C28">INDEX('rtp before multiplier'!H:H,MATCH(1,('rtp before multiplier'!A:A='total rtp'!A28)*('rtp before multiplier'!B:B='total rtp'!B28),0))</f>
        <v>1.3210178127719354E-5</v>
      </c>
      <c r="D28">
        <f t="shared" si="3"/>
        <v>1.0806562530700461E-2</v>
      </c>
      <c r="E28" s="7">
        <f t="shared" si="0"/>
        <v>1.4275661597889074E-7</v>
      </c>
      <c r="F28">
        <v>4</v>
      </c>
      <c r="G28" s="5">
        <v>30</v>
      </c>
      <c r="H28" s="8">
        <f t="shared" si="1"/>
        <v>58.027829760000024</v>
      </c>
      <c r="I28">
        <v>50</v>
      </c>
      <c r="J28" s="6">
        <f t="shared" si="2"/>
        <v>4.1419283045683857E-4</v>
      </c>
    </row>
    <row r="29" spans="1:10" ht="16.5" x14ac:dyDescent="0.2">
      <c r="A29">
        <v>9</v>
      </c>
      <c r="B29">
        <v>8</v>
      </c>
      <c r="C29" cm="1">
        <f t="array" ref="C29">INDEX('rtp before multiplier'!H:H,MATCH(1,('rtp before multiplier'!A:A='total rtp'!A29)*('rtp before multiplier'!B:B='total rtp'!B29),0))</f>
        <v>1.3210178127719354E-5</v>
      </c>
      <c r="D29">
        <f t="shared" si="3"/>
        <v>3.9296591020728953E-4</v>
      </c>
      <c r="E29" s="7">
        <f t="shared" si="0"/>
        <v>5.1911496719596639E-9</v>
      </c>
      <c r="F29">
        <v>5</v>
      </c>
      <c r="G29" s="5">
        <v>30</v>
      </c>
      <c r="H29" s="8">
        <f t="shared" si="1"/>
        <v>160.1568101375999</v>
      </c>
      <c r="I29">
        <v>50</v>
      </c>
      <c r="J29" s="6">
        <f t="shared" si="2"/>
        <v>4.1569898620395395E-5</v>
      </c>
    </row>
    <row r="30" spans="1:10" ht="16.5" x14ac:dyDescent="0.2">
      <c r="A30">
        <v>9</v>
      </c>
      <c r="B30">
        <v>9</v>
      </c>
      <c r="C30" cm="1">
        <f t="array" ref="C30">INDEX('rtp before multiplier'!H:H,MATCH(1,('rtp before multiplier'!A:A='total rtp'!A30)*('rtp before multiplier'!B:B='total rtp'!B30),0))</f>
        <v>6.9895122368885466E-8</v>
      </c>
      <c r="D30">
        <f t="shared" si="3"/>
        <v>0.14279398762157383</v>
      </c>
      <c r="E30" s="7">
        <f t="shared" si="0"/>
        <v>9.9806032383510192E-9</v>
      </c>
      <c r="F30">
        <v>0</v>
      </c>
      <c r="G30" s="5">
        <v>30</v>
      </c>
      <c r="H30" s="8">
        <f t="shared" si="1"/>
        <v>1</v>
      </c>
      <c r="I30">
        <v>250</v>
      </c>
      <c r="J30" s="6">
        <f t="shared" si="2"/>
        <v>2.4951508095877549E-6</v>
      </c>
    </row>
    <row r="31" spans="1:10" ht="16.5" x14ac:dyDescent="0.2">
      <c r="A31">
        <v>9</v>
      </c>
      <c r="B31">
        <v>9</v>
      </c>
      <c r="C31" cm="1">
        <f t="array" ref="C31">INDEX('rtp before multiplier'!H:H,MATCH(1,('rtp before multiplier'!A:A='total rtp'!A31)*('rtp before multiplier'!B:B='total rtp'!B31),0))</f>
        <v>6.9895122368885466E-8</v>
      </c>
      <c r="D31">
        <f t="shared" si="3"/>
        <v>0.37798408488063662</v>
      </c>
      <c r="E31" s="7">
        <f t="shared" si="0"/>
        <v>2.6419243866223287E-8</v>
      </c>
      <c r="F31">
        <v>1</v>
      </c>
      <c r="G31" s="5">
        <v>30</v>
      </c>
      <c r="H31" s="8">
        <f t="shared" si="1"/>
        <v>2.76</v>
      </c>
      <c r="I31">
        <v>250</v>
      </c>
      <c r="J31" s="6">
        <f t="shared" si="2"/>
        <v>1.8229278267694065E-5</v>
      </c>
    </row>
    <row r="32" spans="1:10" ht="16.5" x14ac:dyDescent="0.2">
      <c r="A32">
        <v>9</v>
      </c>
      <c r="B32">
        <v>9</v>
      </c>
      <c r="C32" cm="1">
        <f t="array" ref="C32">INDEX('rtp before multiplier'!H:H,MATCH(1,('rtp before multiplier'!A:A='total rtp'!A32)*('rtp before multiplier'!B:B='total rtp'!B32),0))</f>
        <v>6.9895122368885466E-8</v>
      </c>
      <c r="D32">
        <f t="shared" si="3"/>
        <v>0.33598585322723251</v>
      </c>
      <c r="E32" s="7">
        <f t="shared" si="0"/>
        <v>2.3483772325531809E-8</v>
      </c>
      <c r="F32">
        <v>2</v>
      </c>
      <c r="G32" s="5">
        <v>30</v>
      </c>
      <c r="H32" s="8">
        <f t="shared" si="1"/>
        <v>7.6176000000000004</v>
      </c>
      <c r="I32">
        <v>250</v>
      </c>
      <c r="J32" s="6">
        <f t="shared" si="2"/>
        <v>4.4722496016742778E-5</v>
      </c>
    </row>
    <row r="33" spans="1:13" ht="16.5" x14ac:dyDescent="0.2">
      <c r="A33">
        <v>9</v>
      </c>
      <c r="B33">
        <v>9</v>
      </c>
      <c r="C33" cm="1">
        <f t="array" ref="C33">INDEX('rtp before multiplier'!H:H,MATCH(1,('rtp before multiplier'!A:A='total rtp'!A33)*('rtp before multiplier'!B:B='total rtp'!B33),0))</f>
        <v>6.9895122368885466E-8</v>
      </c>
      <c r="D33">
        <f t="shared" si="3"/>
        <v>0.12378426171529618</v>
      </c>
      <c r="E33" s="7">
        <f t="shared" si="0"/>
        <v>8.6519161199327714E-9</v>
      </c>
      <c r="F33">
        <v>3</v>
      </c>
      <c r="G33" s="5">
        <v>30</v>
      </c>
      <c r="H33" s="8">
        <f t="shared" si="1"/>
        <v>21.024576000000003</v>
      </c>
      <c r="I33">
        <v>250</v>
      </c>
      <c r="J33" s="6">
        <f t="shared" si="2"/>
        <v>4.5475717002287926E-5</v>
      </c>
    </row>
    <row r="34" spans="1:13" ht="16.5" x14ac:dyDescent="0.2">
      <c r="A34">
        <v>9</v>
      </c>
      <c r="B34">
        <v>9</v>
      </c>
      <c r="C34" cm="1">
        <f t="array" ref="C34">INDEX('rtp before multiplier'!H:H,MATCH(1,('rtp before multiplier'!A:A='total rtp'!A34)*('rtp before multiplier'!B:B='total rtp'!B34),0))</f>
        <v>6.9895122368885466E-8</v>
      </c>
      <c r="D34">
        <f t="shared" si="3"/>
        <v>1.8567639257294429E-2</v>
      </c>
      <c r="E34" s="7">
        <f t="shared" si="0"/>
        <v>1.2977874179899158E-9</v>
      </c>
      <c r="F34">
        <v>4</v>
      </c>
      <c r="G34" s="5">
        <v>30</v>
      </c>
      <c r="H34" s="8">
        <f t="shared" si="1"/>
        <v>58.027829760000024</v>
      </c>
      <c r="I34">
        <v>250</v>
      </c>
      <c r="J34" s="6">
        <f t="shared" si="2"/>
        <v>1.8826946838947208E-5</v>
      </c>
    </row>
    <row r="35" spans="1:13" ht="16.5" x14ac:dyDescent="0.2">
      <c r="A35">
        <v>9</v>
      </c>
      <c r="B35">
        <v>9</v>
      </c>
      <c r="C35" cm="1">
        <f t="array" ref="C35">INDEX('rtp before multiplier'!H:H,MATCH(1,('rtp before multiplier'!A:A='total rtp'!A35)*('rtp before multiplier'!B:B='total rtp'!B35),0))</f>
        <v>6.9895122368885466E-8</v>
      </c>
      <c r="D35">
        <f t="shared" si="3"/>
        <v>8.8417329796640137E-4</v>
      </c>
      <c r="E35" s="7">
        <f t="shared" si="0"/>
        <v>6.1799400856662659E-11</v>
      </c>
      <c r="F35">
        <v>5</v>
      </c>
      <c r="G35" s="5">
        <v>30</v>
      </c>
      <c r="H35" s="8">
        <f t="shared" si="1"/>
        <v>160.1568101375999</v>
      </c>
      <c r="I35">
        <v>250</v>
      </c>
      <c r="J35" s="6">
        <f t="shared" si="2"/>
        <v>2.4743987274044876E-6</v>
      </c>
      <c r="L35">
        <f>D35*C35</f>
        <v>6.1799400856662659E-11</v>
      </c>
      <c r="M35">
        <f>1/L35</f>
        <v>16181386650.000004</v>
      </c>
    </row>
    <row r="36" spans="1:13" ht="16.5" x14ac:dyDescent="0.2">
      <c r="A36">
        <v>10</v>
      </c>
      <c r="B36">
        <v>3</v>
      </c>
      <c r="C36" cm="1">
        <f t="array" ref="C36">INDEX('rtp before multiplier'!H:H,MATCH(1,('rtp before multiplier'!A:A='total rtp'!A36)*('rtp before multiplier'!B:B='total rtp'!B36),0))</f>
        <v>0.14417606381624373</v>
      </c>
      <c r="D36">
        <f>COMBIN(G36-B36,5-F36)*COMBIN(B36,F36)/$M$1</f>
        <v>0.56650246305418717</v>
      </c>
      <c r="E36" s="7">
        <f>C36*D36</f>
        <v>8.1676095265359752E-2</v>
      </c>
      <c r="F36" s="5">
        <v>0</v>
      </c>
      <c r="G36" s="5">
        <v>30</v>
      </c>
      <c r="H36" s="8">
        <f>VLOOKUP(F36,$O$3:$P$8,2,FALSE)</f>
        <v>1</v>
      </c>
      <c r="I36">
        <v>2</v>
      </c>
      <c r="J36" s="6">
        <f>C36*D36*H36*I36</f>
        <v>0.1633521905307195</v>
      </c>
      <c r="K36" s="6">
        <f>SUM(J36:J69)</f>
        <v>0.98794165288781599</v>
      </c>
    </row>
    <row r="37" spans="1:13" ht="16.5" x14ac:dyDescent="0.2">
      <c r="A37">
        <v>10</v>
      </c>
      <c r="B37">
        <v>3</v>
      </c>
      <c r="C37" cm="1">
        <f t="array" ref="C37">INDEX('rtp before multiplier'!H:H,MATCH(1,('rtp before multiplier'!A:A='total rtp'!A37)*('rtp before multiplier'!B:B='total rtp'!B37),0))</f>
        <v>0.14417606381624373</v>
      </c>
      <c r="D37">
        <f>COMBIN(G37-B37,5-F37)*COMBIN(B37,F37)/$M$1</f>
        <v>0.36945812807881773</v>
      </c>
      <c r="E37" s="7">
        <f t="shared" ref="E37:E69" si="4">C37*D37</f>
        <v>5.3267018651321572E-2</v>
      </c>
      <c r="F37">
        <v>1</v>
      </c>
      <c r="G37" s="5">
        <v>30</v>
      </c>
      <c r="H37" s="8">
        <f t="shared" ref="H37:H69" si="5">VLOOKUP(F37,$O$3:$P$8,2,FALSE)</f>
        <v>2.76</v>
      </c>
      <c r="I37">
        <v>2</v>
      </c>
      <c r="J37" s="6">
        <f t="shared" ref="J37:J69" si="6">C37*D37*H37*I37</f>
        <v>0.29403394295529506</v>
      </c>
    </row>
    <row r="38" spans="1:13" ht="16.5" x14ac:dyDescent="0.2">
      <c r="A38">
        <v>10</v>
      </c>
      <c r="B38">
        <v>3</v>
      </c>
      <c r="C38" cm="1">
        <f t="array" ref="C38">INDEX('rtp before multiplier'!H:H,MATCH(1,('rtp before multiplier'!A:A='total rtp'!A38)*('rtp before multiplier'!B:B='total rtp'!B38),0))</f>
        <v>0.14417606381624373</v>
      </c>
      <c r="D38">
        <f t="shared" ref="D38:D69" si="7">COMBIN(G38-B38,5-F38)*COMBIN(B38,F38)/$M$1</f>
        <v>6.1576354679802957E-2</v>
      </c>
      <c r="E38" s="7">
        <f t="shared" si="4"/>
        <v>8.8778364418869299E-3</v>
      </c>
      <c r="F38">
        <v>2</v>
      </c>
      <c r="G38" s="5">
        <v>30</v>
      </c>
      <c r="H38" s="8">
        <f t="shared" si="5"/>
        <v>7.6176000000000004</v>
      </c>
      <c r="I38">
        <v>2</v>
      </c>
      <c r="J38" s="6">
        <f t="shared" si="6"/>
        <v>0.13525561375943576</v>
      </c>
    </row>
    <row r="39" spans="1:13" ht="16.5" x14ac:dyDescent="0.2">
      <c r="A39">
        <v>10</v>
      </c>
      <c r="B39">
        <v>3</v>
      </c>
      <c r="C39" cm="1">
        <f t="array" ref="C39">INDEX('rtp before multiplier'!H:H,MATCH(1,('rtp before multiplier'!A:A='total rtp'!A39)*('rtp before multiplier'!B:B='total rtp'!B39),0))</f>
        <v>0.14417606381624373</v>
      </c>
      <c r="D39">
        <f t="shared" si="7"/>
        <v>2.4630541871921183E-3</v>
      </c>
      <c r="E39" s="7">
        <f t="shared" si="4"/>
        <v>3.5511345767547716E-4</v>
      </c>
      <c r="F39">
        <v>3</v>
      </c>
      <c r="G39" s="5">
        <v>30</v>
      </c>
      <c r="H39" s="8">
        <f t="shared" si="5"/>
        <v>21.024576000000003</v>
      </c>
      <c r="I39">
        <v>2</v>
      </c>
      <c r="J39" s="6">
        <f t="shared" si="6"/>
        <v>1.4932219759041708E-2</v>
      </c>
    </row>
    <row r="40" spans="1:13" ht="16.5" x14ac:dyDescent="0.2">
      <c r="A40">
        <v>10</v>
      </c>
      <c r="B40">
        <v>5</v>
      </c>
      <c r="C40" cm="1">
        <f t="array" ref="C40">INDEX('rtp before multiplier'!H:H,MATCH(1,('rtp before multiplier'!A:A='total rtp'!A40)*('rtp before multiplier'!B:B='total rtp'!B40),0))</f>
        <v>1.4063597571843446E-2</v>
      </c>
      <c r="D40">
        <f t="shared" si="7"/>
        <v>0.37282640730916589</v>
      </c>
      <c r="E40" s="7">
        <f t="shared" si="4"/>
        <v>5.2432805565523011E-3</v>
      </c>
      <c r="F40">
        <v>0</v>
      </c>
      <c r="G40" s="5">
        <v>30</v>
      </c>
      <c r="H40" s="8">
        <f t="shared" si="5"/>
        <v>1</v>
      </c>
      <c r="I40">
        <v>5</v>
      </c>
      <c r="J40" s="6">
        <f t="shared" si="6"/>
        <v>2.6216402782761505E-2</v>
      </c>
    </row>
    <row r="41" spans="1:13" ht="16.5" x14ac:dyDescent="0.2">
      <c r="A41">
        <v>10</v>
      </c>
      <c r="B41">
        <v>5</v>
      </c>
      <c r="C41" cm="1">
        <f t="array" ref="C41">INDEX('rtp before multiplier'!H:H,MATCH(1,('rtp before multiplier'!A:A='total rtp'!A41)*('rtp before multiplier'!B:B='total rtp'!B41),0))</f>
        <v>1.4063597571843446E-2</v>
      </c>
      <c r="D41">
        <f t="shared" si="7"/>
        <v>0.44384096108234045</v>
      </c>
      <c r="E41" s="7">
        <f t="shared" si="4"/>
        <v>6.2420006625622648E-3</v>
      </c>
      <c r="F41">
        <v>1</v>
      </c>
      <c r="G41" s="5">
        <v>30</v>
      </c>
      <c r="H41" s="8">
        <f t="shared" si="5"/>
        <v>2.76</v>
      </c>
      <c r="I41">
        <v>5</v>
      </c>
      <c r="J41" s="6">
        <f t="shared" si="6"/>
        <v>8.6139609143359247E-2</v>
      </c>
    </row>
    <row r="42" spans="1:13" ht="16.5" x14ac:dyDescent="0.2">
      <c r="A42">
        <v>10</v>
      </c>
      <c r="B42">
        <v>5</v>
      </c>
      <c r="C42" cm="1">
        <f t="array" ref="C42">INDEX('rtp before multiplier'!H:H,MATCH(1,('rtp before multiplier'!A:A='total rtp'!A42)*('rtp before multiplier'!B:B='total rtp'!B42),0))</f>
        <v>1.4063597571843446E-2</v>
      </c>
      <c r="D42">
        <f t="shared" si="7"/>
        <v>0.16139671312085105</v>
      </c>
      <c r="E42" s="7">
        <f t="shared" si="4"/>
        <v>2.2698184227499143E-3</v>
      </c>
      <c r="F42">
        <v>2</v>
      </c>
      <c r="G42" s="5">
        <v>30</v>
      </c>
      <c r="H42" s="8">
        <f t="shared" si="5"/>
        <v>7.6176000000000004</v>
      </c>
      <c r="I42">
        <v>5</v>
      </c>
      <c r="J42" s="6">
        <f t="shared" si="6"/>
        <v>8.6452844085698741E-2</v>
      </c>
    </row>
    <row r="43" spans="1:13" ht="16.5" x14ac:dyDescent="0.2">
      <c r="A43">
        <v>10</v>
      </c>
      <c r="B43">
        <v>5</v>
      </c>
      <c r="C43" cm="1">
        <f t="array" ref="C43">INDEX('rtp before multiplier'!H:H,MATCH(1,('rtp before multiplier'!A:A='total rtp'!A43)*('rtp before multiplier'!B:B='total rtp'!B43),0))</f>
        <v>1.4063597571843446E-2</v>
      </c>
      <c r="D43">
        <f t="shared" si="7"/>
        <v>2.1051745189676223E-2</v>
      </c>
      <c r="E43" s="7">
        <f t="shared" si="4"/>
        <v>2.9606327253259746E-4</v>
      </c>
      <c r="F43">
        <v>3</v>
      </c>
      <c r="G43" s="5">
        <v>30</v>
      </c>
      <c r="H43" s="8">
        <f t="shared" si="5"/>
        <v>21.024576000000003</v>
      </c>
      <c r="I43">
        <v>5</v>
      </c>
      <c r="J43" s="6">
        <f t="shared" si="6"/>
        <v>3.1123023870851543E-2</v>
      </c>
    </row>
    <row r="44" spans="1:13" ht="16.5" x14ac:dyDescent="0.2">
      <c r="A44">
        <v>10</v>
      </c>
      <c r="B44">
        <v>5</v>
      </c>
      <c r="C44" cm="1">
        <f t="array" ref="C44">INDEX('rtp before multiplier'!H:H,MATCH(1,('rtp before multiplier'!A:A='total rtp'!A44)*('rtp before multiplier'!B:B='total rtp'!B44),0))</f>
        <v>1.4063597571843446E-2</v>
      </c>
      <c r="D44">
        <f t="shared" si="7"/>
        <v>8.7715604956984273E-4</v>
      </c>
      <c r="E44" s="7">
        <f t="shared" si="4"/>
        <v>1.233596968885823E-5</v>
      </c>
      <c r="F44">
        <v>4</v>
      </c>
      <c r="G44" s="5">
        <v>30</v>
      </c>
      <c r="H44" s="8">
        <f t="shared" si="5"/>
        <v>58.027829760000024</v>
      </c>
      <c r="I44">
        <v>5</v>
      </c>
      <c r="J44" s="6">
        <f t="shared" si="6"/>
        <v>3.5791477451479294E-3</v>
      </c>
    </row>
    <row r="45" spans="1:13" ht="16.5" x14ac:dyDescent="0.2">
      <c r="A45">
        <v>10</v>
      </c>
      <c r="B45">
        <v>5</v>
      </c>
      <c r="C45" cm="1">
        <f t="array" ref="C45">INDEX('rtp before multiplier'!H:H,MATCH(1,('rtp before multiplier'!A:A='total rtp'!A45)*('rtp before multiplier'!B:B='total rtp'!B45),0))</f>
        <v>1.4063597571843446E-2</v>
      </c>
      <c r="D45">
        <f t="shared" si="7"/>
        <v>7.0172483965587412E-6</v>
      </c>
      <c r="E45" s="7">
        <f t="shared" si="4"/>
        <v>9.8687757510865828E-8</v>
      </c>
      <c r="F45">
        <v>5</v>
      </c>
      <c r="G45" s="5">
        <v>30</v>
      </c>
      <c r="H45" s="8">
        <f t="shared" si="5"/>
        <v>160.1568101375999</v>
      </c>
      <c r="I45">
        <v>5</v>
      </c>
      <c r="J45" s="6">
        <f t="shared" si="6"/>
        <v>7.9027582212866189E-5</v>
      </c>
    </row>
    <row r="46" spans="1:13" ht="16.5" x14ac:dyDescent="0.2">
      <c r="A46">
        <v>10</v>
      </c>
      <c r="B46">
        <v>6</v>
      </c>
      <c r="C46" cm="1">
        <f t="array" ref="C46">INDEX('rtp before multiplier'!H:H,MATCH(1,('rtp before multiplier'!A:A='total rtp'!A46)*('rtp before multiplier'!B:B='total rtp'!B46),0))</f>
        <v>1.1952065925079419E-3</v>
      </c>
      <c r="D46">
        <f t="shared" si="7"/>
        <v>0.29826112584733272</v>
      </c>
      <c r="E46" s="7">
        <f t="shared" si="4"/>
        <v>3.5648366390157298E-4</v>
      </c>
      <c r="F46">
        <v>0</v>
      </c>
      <c r="G46" s="5">
        <v>30</v>
      </c>
      <c r="H46" s="8">
        <f t="shared" si="5"/>
        <v>1</v>
      </c>
      <c r="I46">
        <v>5</v>
      </c>
      <c r="J46" s="6">
        <f t="shared" si="6"/>
        <v>1.7824183195078649E-3</v>
      </c>
    </row>
    <row r="47" spans="1:13" ht="16.5" x14ac:dyDescent="0.2">
      <c r="A47">
        <v>10</v>
      </c>
      <c r="B47">
        <v>6</v>
      </c>
      <c r="C47" cm="1">
        <f t="array" ref="C47">INDEX('rtp before multiplier'!H:H,MATCH(1,('rtp before multiplier'!A:A='total rtp'!A47)*('rtp before multiplier'!B:B='total rtp'!B47),0))</f>
        <v>1.1952065925079419E-3</v>
      </c>
      <c r="D47">
        <f t="shared" si="7"/>
        <v>0.44739168877099911</v>
      </c>
      <c r="E47" s="7">
        <f t="shared" si="4"/>
        <v>5.347254958523595E-4</v>
      </c>
      <c r="F47">
        <v>1</v>
      </c>
      <c r="G47" s="5">
        <v>30</v>
      </c>
      <c r="H47" s="8">
        <f t="shared" si="5"/>
        <v>2.76</v>
      </c>
      <c r="I47">
        <v>5</v>
      </c>
      <c r="J47" s="6">
        <f t="shared" si="6"/>
        <v>7.3792118427625604E-3</v>
      </c>
    </row>
    <row r="48" spans="1:13" ht="16.5" x14ac:dyDescent="0.2">
      <c r="A48">
        <v>10</v>
      </c>
      <c r="B48">
        <v>6</v>
      </c>
      <c r="C48" cm="1">
        <f t="array" ref="C48">INDEX('rtp before multiplier'!H:H,MATCH(1,('rtp before multiplier'!A:A='total rtp'!A48)*('rtp before multiplier'!B:B='total rtp'!B48),0))</f>
        <v>1.1952065925079419E-3</v>
      </c>
      <c r="D48">
        <f t="shared" si="7"/>
        <v>0.2130436613195234</v>
      </c>
      <c r="E48" s="7">
        <f t="shared" si="4"/>
        <v>2.5463118850112357E-4</v>
      </c>
      <c r="F48">
        <v>2</v>
      </c>
      <c r="G48" s="5">
        <v>30</v>
      </c>
      <c r="H48" s="8">
        <f t="shared" si="5"/>
        <v>7.6176000000000004</v>
      </c>
      <c r="I48">
        <v>5</v>
      </c>
      <c r="J48" s="6">
        <f t="shared" si="6"/>
        <v>9.6983927076307944E-3</v>
      </c>
    </row>
    <row r="49" spans="1:10" ht="16.5" x14ac:dyDescent="0.2">
      <c r="A49">
        <v>10</v>
      </c>
      <c r="B49">
        <v>6</v>
      </c>
      <c r="C49" cm="1">
        <f t="array" ref="C49">INDEX('rtp before multiplier'!H:H,MATCH(1,('rtp before multiplier'!A:A='total rtp'!A49)*('rtp before multiplier'!B:B='total rtp'!B49),0))</f>
        <v>1.1952065925079419E-3</v>
      </c>
      <c r="D49">
        <f t="shared" si="7"/>
        <v>3.8735211149004252E-2</v>
      </c>
      <c r="E49" s="7">
        <f t="shared" si="4"/>
        <v>4.6296579727477014E-5</v>
      </c>
      <c r="F49">
        <v>3</v>
      </c>
      <c r="G49" s="5">
        <v>30</v>
      </c>
      <c r="H49" s="8">
        <f t="shared" si="5"/>
        <v>21.024576000000003</v>
      </c>
      <c r="I49">
        <v>5</v>
      </c>
      <c r="J49" s="6">
        <f t="shared" si="6"/>
        <v>4.8668297951019995E-3</v>
      </c>
    </row>
    <row r="50" spans="1:10" ht="16.5" x14ac:dyDescent="0.2">
      <c r="A50">
        <v>10</v>
      </c>
      <c r="B50">
        <v>6</v>
      </c>
      <c r="C50" cm="1">
        <f t="array" ref="C50">INDEX('rtp before multiplier'!H:H,MATCH(1,('rtp before multiplier'!A:A='total rtp'!A50)*('rtp before multiplier'!B:B='total rtp'!B50),0))</f>
        <v>1.1952065925079419E-3</v>
      </c>
      <c r="D50">
        <f t="shared" si="7"/>
        <v>2.526209422761147E-3</v>
      </c>
      <c r="E50" s="7">
        <f t="shared" si="4"/>
        <v>3.0193421561398054E-6</v>
      </c>
      <c r="F50">
        <v>4</v>
      </c>
      <c r="G50" s="5">
        <v>30</v>
      </c>
      <c r="H50" s="8">
        <f t="shared" si="5"/>
        <v>58.027829760000024</v>
      </c>
      <c r="I50">
        <v>5</v>
      </c>
      <c r="J50" s="6">
        <f t="shared" si="6"/>
        <v>8.7602936311836021E-4</v>
      </c>
    </row>
    <row r="51" spans="1:10" ht="16.5" x14ac:dyDescent="0.2">
      <c r="A51">
        <v>10</v>
      </c>
      <c r="B51">
        <v>6</v>
      </c>
      <c r="C51" cm="1">
        <f t="array" ref="C51">INDEX('rtp before multiplier'!H:H,MATCH(1,('rtp before multiplier'!A:A='total rtp'!A51)*('rtp before multiplier'!B:B='total rtp'!B51),0))</f>
        <v>1.1952065925079419E-3</v>
      </c>
      <c r="D51">
        <f t="shared" si="7"/>
        <v>4.2103490379352447E-5</v>
      </c>
      <c r="E51" s="7">
        <f t="shared" si="4"/>
        <v>5.0322369268996754E-8</v>
      </c>
      <c r="F51">
        <v>5</v>
      </c>
      <c r="G51" s="5">
        <v>30</v>
      </c>
      <c r="H51" s="8">
        <f t="shared" si="5"/>
        <v>160.1568101375999</v>
      </c>
      <c r="I51">
        <v>5</v>
      </c>
      <c r="J51" s="6">
        <f t="shared" si="6"/>
        <v>4.0297350703444526E-5</v>
      </c>
    </row>
    <row r="52" spans="1:10" ht="16.5" x14ac:dyDescent="0.2">
      <c r="A52">
        <v>10</v>
      </c>
      <c r="B52">
        <v>7</v>
      </c>
      <c r="C52" cm="1">
        <f t="array" ref="C52">INDEX('rtp before multiplier'!H:H,MATCH(1,('rtp before multiplier'!A:A='total rtp'!A52)*('rtp before multiplier'!B:B='total rtp'!B52),0))</f>
        <v>7.9680439500529456E-4</v>
      </c>
      <c r="D52">
        <f t="shared" si="7"/>
        <v>0.23612339129580515</v>
      </c>
      <c r="E52" s="7">
        <f t="shared" si="4"/>
        <v>1.8814415594805247E-4</v>
      </c>
      <c r="F52">
        <v>0</v>
      </c>
      <c r="G52" s="5">
        <v>30</v>
      </c>
      <c r="H52" s="8">
        <f t="shared" si="5"/>
        <v>1</v>
      </c>
      <c r="I52">
        <v>25</v>
      </c>
      <c r="J52" s="6">
        <f t="shared" si="6"/>
        <v>4.7036038987013119E-3</v>
      </c>
    </row>
    <row r="53" spans="1:10" ht="16.5" x14ac:dyDescent="0.2">
      <c r="A53">
        <v>10</v>
      </c>
      <c r="B53">
        <v>7</v>
      </c>
      <c r="C53" cm="1">
        <f t="array" ref="C53">INDEX('rtp before multiplier'!H:H,MATCH(1,('rtp before multiplier'!A:A='total rtp'!A53)*('rtp before multiplier'!B:B='total rtp'!B53),0))</f>
        <v>7.9680439500529456E-4</v>
      </c>
      <c r="D53">
        <f t="shared" si="7"/>
        <v>0.4349641418606936</v>
      </c>
      <c r="E53" s="7">
        <f t="shared" si="4"/>
        <v>3.4658133990430706E-4</v>
      </c>
      <c r="F53">
        <v>1</v>
      </c>
      <c r="G53" s="5">
        <v>30</v>
      </c>
      <c r="H53" s="8">
        <f t="shared" si="5"/>
        <v>2.76</v>
      </c>
      <c r="I53">
        <v>25</v>
      </c>
      <c r="J53" s="6">
        <f t="shared" si="6"/>
        <v>2.3914112453397186E-2</v>
      </c>
    </row>
    <row r="54" spans="1:10" ht="16.5" x14ac:dyDescent="0.2">
      <c r="A54">
        <v>10</v>
      </c>
      <c r="B54">
        <v>7</v>
      </c>
      <c r="C54" cm="1">
        <f t="array" ref="C54">INDEX('rtp before multiplier'!H:H,MATCH(1,('rtp before multiplier'!A:A='total rtp'!A54)*('rtp before multiplier'!B:B='total rtp'!B54),0))</f>
        <v>7.9680439500529456E-4</v>
      </c>
      <c r="D54">
        <f t="shared" si="7"/>
        <v>0.26097848511641614</v>
      </c>
      <c r="E54" s="7">
        <f t="shared" si="4"/>
        <v>2.0794880394258423E-4</v>
      </c>
      <c r="F54">
        <v>2</v>
      </c>
      <c r="G54" s="5">
        <v>30</v>
      </c>
      <c r="H54" s="8">
        <f t="shared" si="5"/>
        <v>7.6176000000000004</v>
      </c>
      <c r="I54">
        <v>25</v>
      </c>
      <c r="J54" s="6">
        <f t="shared" si="6"/>
        <v>3.9601770222825738E-2</v>
      </c>
    </row>
    <row r="55" spans="1:10" ht="16.5" x14ac:dyDescent="0.2">
      <c r="A55">
        <v>10</v>
      </c>
      <c r="B55">
        <v>7</v>
      </c>
      <c r="C55" cm="1">
        <f t="array" ref="C55">INDEX('rtp before multiplier'!H:H,MATCH(1,('rtp before multiplier'!A:A='total rtp'!A55)*('rtp before multiplier'!B:B='total rtp'!B55),0))</f>
        <v>7.9680439500529456E-4</v>
      </c>
      <c r="D55">
        <f t="shared" si="7"/>
        <v>6.2137734551527657E-2</v>
      </c>
      <c r="E55" s="7">
        <f t="shared" si="4"/>
        <v>4.9511619986329583E-5</v>
      </c>
      <c r="F55">
        <v>3</v>
      </c>
      <c r="G55" s="5">
        <v>30</v>
      </c>
      <c r="H55" s="8">
        <f t="shared" si="5"/>
        <v>21.024576000000003</v>
      </c>
      <c r="I55">
        <v>25</v>
      </c>
      <c r="J55" s="6">
        <f t="shared" si="6"/>
        <v>2.602402043214264E-2</v>
      </c>
    </row>
    <row r="56" spans="1:10" ht="16.5" x14ac:dyDescent="0.2">
      <c r="A56">
        <v>10</v>
      </c>
      <c r="B56">
        <v>7</v>
      </c>
      <c r="C56" cm="1">
        <f t="array" ref="C56">INDEX('rtp before multiplier'!H:H,MATCH(1,('rtp before multiplier'!A:A='total rtp'!A56)*('rtp before multiplier'!B:B='total rtp'!B56),0))</f>
        <v>7.9680439500529456E-4</v>
      </c>
      <c r="D56">
        <f t="shared" si="7"/>
        <v>5.6488849592297866E-3</v>
      </c>
      <c r="E56" s="7">
        <f t="shared" si="4"/>
        <v>4.5010563623935983E-6</v>
      </c>
      <c r="F56">
        <v>4</v>
      </c>
      <c r="G56" s="5">
        <v>30</v>
      </c>
      <c r="H56" s="8">
        <f t="shared" si="5"/>
        <v>58.027829760000024</v>
      </c>
      <c r="I56">
        <v>25</v>
      </c>
      <c r="J56" s="6">
        <f t="shared" si="6"/>
        <v>6.5296633084285169E-3</v>
      </c>
    </row>
    <row r="57" spans="1:10" ht="16.5" x14ac:dyDescent="0.2">
      <c r="A57">
        <v>10</v>
      </c>
      <c r="B57">
        <v>7</v>
      </c>
      <c r="C57" cm="1">
        <f t="array" ref="C57">INDEX('rtp before multiplier'!H:H,MATCH(1,('rtp before multiplier'!A:A='total rtp'!A57)*('rtp before multiplier'!B:B='total rtp'!B57),0))</f>
        <v>7.9680439500529456E-4</v>
      </c>
      <c r="D57">
        <f t="shared" si="7"/>
        <v>1.4736221632773356E-4</v>
      </c>
      <c r="E57" s="7">
        <f t="shared" si="4"/>
        <v>1.1741886162765908E-7</v>
      </c>
      <c r="F57">
        <v>5</v>
      </c>
      <c r="G57" s="5">
        <v>30</v>
      </c>
      <c r="H57" s="8">
        <f t="shared" si="5"/>
        <v>160.1568101375999</v>
      </c>
      <c r="I57">
        <v>25</v>
      </c>
      <c r="J57" s="6">
        <f t="shared" si="6"/>
        <v>4.7013575820685277E-4</v>
      </c>
    </row>
    <row r="58" spans="1:10" ht="16.5" x14ac:dyDescent="0.2">
      <c r="A58">
        <v>10</v>
      </c>
      <c r="B58">
        <v>8</v>
      </c>
      <c r="C58" cm="1">
        <f t="array" ref="C58">INDEX('rtp before multiplier'!H:H,MATCH(1,('rtp before multiplier'!A:A='total rtp'!A58)*('rtp before multiplier'!B:B='total rtp'!B58),0))</f>
        <v>6.2905610131996936E-5</v>
      </c>
      <c r="D58">
        <f t="shared" si="7"/>
        <v>0.18479221927497791</v>
      </c>
      <c r="E58" s="7">
        <f t="shared" si="4"/>
        <v>1.1624467301138249E-5</v>
      </c>
      <c r="F58">
        <v>0</v>
      </c>
      <c r="G58" s="5">
        <v>30</v>
      </c>
      <c r="H58" s="8">
        <f t="shared" si="5"/>
        <v>1</v>
      </c>
      <c r="I58">
        <v>50</v>
      </c>
      <c r="J58" s="6">
        <f t="shared" si="6"/>
        <v>5.812233650569125E-4</v>
      </c>
    </row>
    <row r="59" spans="1:10" ht="16.5" x14ac:dyDescent="0.2">
      <c r="A59">
        <v>10</v>
      </c>
      <c r="B59">
        <v>8</v>
      </c>
      <c r="C59" cm="1">
        <f t="array" ref="C59">INDEX('rtp before multiplier'!H:H,MATCH(1,('rtp before multiplier'!A:A='total rtp'!A59)*('rtp before multiplier'!B:B='total rtp'!B59),0))</f>
        <v>6.2905610131996936E-5</v>
      </c>
      <c r="D59">
        <f t="shared" si="7"/>
        <v>0.41064937616661756</v>
      </c>
      <c r="E59" s="7">
        <f t="shared" si="4"/>
        <v>2.5832149558084998E-5</v>
      </c>
      <c r="F59">
        <v>1</v>
      </c>
      <c r="G59" s="5">
        <v>30</v>
      </c>
      <c r="H59" s="8">
        <f t="shared" si="5"/>
        <v>2.76</v>
      </c>
      <c r="I59">
        <v>50</v>
      </c>
      <c r="J59" s="6">
        <f t="shared" si="6"/>
        <v>3.5648366390157297E-3</v>
      </c>
    </row>
    <row r="60" spans="1:10" ht="16.5" x14ac:dyDescent="0.2">
      <c r="A60">
        <v>10</v>
      </c>
      <c r="B60">
        <v>8</v>
      </c>
      <c r="C60" cm="1">
        <f t="array" ref="C60">INDEX('rtp before multiplier'!H:H,MATCH(1,('rtp before multiplier'!A:A='total rtp'!A60)*('rtp before multiplier'!B:B='total rtp'!B60),0))</f>
        <v>6.2905610131996936E-5</v>
      </c>
      <c r="D60">
        <f t="shared" si="7"/>
        <v>0.30258375085961292</v>
      </c>
      <c r="E60" s="7">
        <f t="shared" si="4"/>
        <v>1.9034215463852104E-5</v>
      </c>
      <c r="F60">
        <v>2</v>
      </c>
      <c r="G60" s="5">
        <v>30</v>
      </c>
      <c r="H60" s="8">
        <f t="shared" si="5"/>
        <v>7.6176000000000004</v>
      </c>
      <c r="I60">
        <v>50</v>
      </c>
      <c r="J60" s="6">
        <f t="shared" si="6"/>
        <v>7.2497519858719895E-3</v>
      </c>
    </row>
    <row r="61" spans="1:10" ht="16.5" x14ac:dyDescent="0.2">
      <c r="A61">
        <v>10</v>
      </c>
      <c r="B61">
        <v>8</v>
      </c>
      <c r="C61" cm="1">
        <f t="array" ref="C61">INDEX('rtp before multiplier'!H:H,MATCH(1,('rtp before multiplier'!A:A='total rtp'!A61)*('rtp before multiplier'!B:B='total rtp'!B61),0))</f>
        <v>6.2905610131996936E-5</v>
      </c>
      <c r="D61">
        <f t="shared" si="7"/>
        <v>9.0775125257883879E-2</v>
      </c>
      <c r="E61" s="7">
        <f t="shared" si="4"/>
        <v>5.7102646391556308E-6</v>
      </c>
      <c r="F61">
        <v>3</v>
      </c>
      <c r="G61" s="5">
        <v>30</v>
      </c>
      <c r="H61" s="8">
        <f t="shared" si="5"/>
        <v>21.024576000000003</v>
      </c>
      <c r="I61">
        <v>50</v>
      </c>
      <c r="J61" s="6">
        <f t="shared" si="6"/>
        <v>6.0027946443020081E-3</v>
      </c>
    </row>
    <row r="62" spans="1:10" ht="16.5" x14ac:dyDescent="0.2">
      <c r="A62">
        <v>10</v>
      </c>
      <c r="B62">
        <v>8</v>
      </c>
      <c r="C62" cm="1">
        <f t="array" ref="C62">INDEX('rtp before multiplier'!H:H,MATCH(1,('rtp before multiplier'!A:A='total rtp'!A62)*('rtp before multiplier'!B:B='total rtp'!B62),0))</f>
        <v>6.2905610131996936E-5</v>
      </c>
      <c r="D62">
        <f t="shared" si="7"/>
        <v>1.0806562530700461E-2</v>
      </c>
      <c r="E62" s="7">
        <f t="shared" si="4"/>
        <v>6.7979340942328942E-7</v>
      </c>
      <c r="F62">
        <v>4</v>
      </c>
      <c r="G62" s="5">
        <v>30</v>
      </c>
      <c r="H62" s="8">
        <f t="shared" si="5"/>
        <v>58.027829760000024</v>
      </c>
      <c r="I62">
        <v>50</v>
      </c>
      <c r="J62" s="6">
        <f t="shared" si="6"/>
        <v>1.9723468116992315E-3</v>
      </c>
    </row>
    <row r="63" spans="1:10" ht="16.5" x14ac:dyDescent="0.2">
      <c r="A63">
        <v>10</v>
      </c>
      <c r="B63">
        <v>8</v>
      </c>
      <c r="C63" cm="1">
        <f t="array" ref="C63">INDEX('rtp before multiplier'!H:H,MATCH(1,('rtp before multiplier'!A:A='total rtp'!A63)*('rtp before multiplier'!B:B='total rtp'!B63),0))</f>
        <v>6.2905610131996936E-5</v>
      </c>
      <c r="D63">
        <f t="shared" si="7"/>
        <v>3.9296591020728953E-4</v>
      </c>
      <c r="E63" s="7">
        <f t="shared" si="4"/>
        <v>2.471976034266507E-8</v>
      </c>
      <c r="F63">
        <v>5</v>
      </c>
      <c r="G63" s="5">
        <v>30</v>
      </c>
      <c r="H63" s="8">
        <f t="shared" si="5"/>
        <v>160.1568101375999</v>
      </c>
      <c r="I63">
        <v>50</v>
      </c>
      <c r="J63" s="6">
        <f t="shared" si="6"/>
        <v>1.9795189819235906E-4</v>
      </c>
    </row>
    <row r="64" spans="1:10" ht="16.5" x14ac:dyDescent="0.2">
      <c r="A64">
        <v>10</v>
      </c>
      <c r="B64">
        <v>9</v>
      </c>
      <c r="C64" cm="1">
        <f t="array" ref="C64">INDEX('rtp before multiplier'!H:H,MATCH(1,('rtp before multiplier'!A:A='total rtp'!A64)*('rtp before multiplier'!B:B='total rtp'!B64),0))</f>
        <v>6.9895122368885482E-7</v>
      </c>
      <c r="D64">
        <f t="shared" si="7"/>
        <v>0.14279398762157383</v>
      </c>
      <c r="E64" s="7">
        <f t="shared" si="4"/>
        <v>9.9806032383510218E-8</v>
      </c>
      <c r="F64">
        <v>0</v>
      </c>
      <c r="G64" s="5">
        <v>30</v>
      </c>
      <c r="H64" s="8">
        <f t="shared" si="5"/>
        <v>1</v>
      </c>
      <c r="I64">
        <v>250</v>
      </c>
      <c r="J64" s="6">
        <f t="shared" si="6"/>
        <v>2.4951508095877555E-5</v>
      </c>
    </row>
    <row r="65" spans="1:11" ht="16.5" x14ac:dyDescent="0.2">
      <c r="A65">
        <v>10</v>
      </c>
      <c r="B65">
        <v>9</v>
      </c>
      <c r="C65" cm="1">
        <f t="array" ref="C65">INDEX('rtp before multiplier'!H:H,MATCH(1,('rtp before multiplier'!A:A='total rtp'!A65)*('rtp before multiplier'!B:B='total rtp'!B65),0))</f>
        <v>6.9895122368885482E-7</v>
      </c>
      <c r="D65">
        <f t="shared" si="7"/>
        <v>0.37798408488063662</v>
      </c>
      <c r="E65" s="7">
        <f t="shared" si="4"/>
        <v>2.6419243866223295E-7</v>
      </c>
      <c r="F65">
        <v>1</v>
      </c>
      <c r="G65" s="5">
        <v>30</v>
      </c>
      <c r="H65" s="8">
        <f t="shared" si="5"/>
        <v>2.76</v>
      </c>
      <c r="I65">
        <v>250</v>
      </c>
      <c r="J65" s="6">
        <f t="shared" si="6"/>
        <v>1.8229278267694072E-4</v>
      </c>
    </row>
    <row r="66" spans="1:11" ht="16.5" x14ac:dyDescent="0.2">
      <c r="A66">
        <v>10</v>
      </c>
      <c r="B66">
        <v>9</v>
      </c>
      <c r="C66" cm="1">
        <f t="array" ref="C66">INDEX('rtp before multiplier'!H:H,MATCH(1,('rtp before multiplier'!A:A='total rtp'!A66)*('rtp before multiplier'!B:B='total rtp'!B66),0))</f>
        <v>6.9895122368885482E-7</v>
      </c>
      <c r="D66">
        <f t="shared" si="7"/>
        <v>0.33598585322723251</v>
      </c>
      <c r="E66" s="7">
        <f t="shared" si="4"/>
        <v>2.3483772325531813E-7</v>
      </c>
      <c r="F66">
        <v>2</v>
      </c>
      <c r="G66" s="5">
        <v>30</v>
      </c>
      <c r="H66" s="8">
        <f t="shared" si="5"/>
        <v>7.6176000000000004</v>
      </c>
      <c r="I66">
        <v>250</v>
      </c>
      <c r="J66" s="6">
        <f t="shared" si="6"/>
        <v>4.4722496016742785E-4</v>
      </c>
    </row>
    <row r="67" spans="1:11" ht="16.5" x14ac:dyDescent="0.2">
      <c r="A67">
        <v>10</v>
      </c>
      <c r="B67">
        <v>9</v>
      </c>
      <c r="C67" cm="1">
        <f t="array" ref="C67">INDEX('rtp before multiplier'!H:H,MATCH(1,('rtp before multiplier'!A:A='total rtp'!A67)*('rtp before multiplier'!B:B='total rtp'!B67),0))</f>
        <v>6.9895122368885482E-7</v>
      </c>
      <c r="D67">
        <f t="shared" si="7"/>
        <v>0.12378426171529618</v>
      </c>
      <c r="E67" s="7">
        <f t="shared" si="4"/>
        <v>8.6519161199327721E-8</v>
      </c>
      <c r="F67">
        <v>3</v>
      </c>
      <c r="G67" s="5">
        <v>30</v>
      </c>
      <c r="H67" s="8">
        <f t="shared" si="5"/>
        <v>21.024576000000003</v>
      </c>
      <c r="I67">
        <v>250</v>
      </c>
      <c r="J67" s="6">
        <f t="shared" si="6"/>
        <v>4.5475717002287932E-4</v>
      </c>
    </row>
    <row r="68" spans="1:11" ht="16.5" x14ac:dyDescent="0.2">
      <c r="A68">
        <v>10</v>
      </c>
      <c r="B68">
        <v>9</v>
      </c>
      <c r="C68" cm="1">
        <f t="array" ref="C68">INDEX('rtp before multiplier'!H:H,MATCH(1,('rtp before multiplier'!A:A='total rtp'!A68)*('rtp before multiplier'!B:B='total rtp'!B68),0))</f>
        <v>6.9895122368885482E-7</v>
      </c>
      <c r="D68">
        <f t="shared" si="7"/>
        <v>1.8567639257294429E-2</v>
      </c>
      <c r="E68" s="7">
        <f t="shared" si="4"/>
        <v>1.297787417989916E-8</v>
      </c>
      <c r="F68">
        <v>4</v>
      </c>
      <c r="G68" s="5">
        <v>30</v>
      </c>
      <c r="H68" s="8">
        <f t="shared" si="5"/>
        <v>58.027829760000024</v>
      </c>
      <c r="I68">
        <v>250</v>
      </c>
      <c r="J68" s="6">
        <f t="shared" si="6"/>
        <v>1.8826946838947212E-4</v>
      </c>
    </row>
    <row r="69" spans="1:11" ht="16.5" x14ac:dyDescent="0.2">
      <c r="A69">
        <v>10</v>
      </c>
      <c r="B69">
        <v>9</v>
      </c>
      <c r="C69" cm="1">
        <f t="array" ref="C69">INDEX('rtp before multiplier'!H:H,MATCH(1,('rtp before multiplier'!A:A='total rtp'!A69)*('rtp before multiplier'!B:B='total rtp'!B69),0))</f>
        <v>6.9895122368885482E-7</v>
      </c>
      <c r="D69">
        <f t="shared" si="7"/>
        <v>8.8417329796640137E-4</v>
      </c>
      <c r="E69" s="7">
        <f t="shared" si="4"/>
        <v>6.1799400856662672E-10</v>
      </c>
      <c r="F69">
        <v>5</v>
      </c>
      <c r="G69" s="5">
        <v>30</v>
      </c>
      <c r="H69" s="8">
        <f t="shared" si="5"/>
        <v>160.1568101375999</v>
      </c>
      <c r="I69">
        <v>250</v>
      </c>
      <c r="J69" s="6">
        <f t="shared" si="6"/>
        <v>2.4743987274044883E-5</v>
      </c>
    </row>
    <row r="70" spans="1:11" ht="16.5" x14ac:dyDescent="0.2">
      <c r="A70">
        <v>11</v>
      </c>
      <c r="B70">
        <v>3</v>
      </c>
      <c r="C70" cm="1">
        <f t="array" ref="C70">INDEX('rtp before multiplier'!H:H,MATCH(1,('rtp before multiplier'!A:A='total rtp'!A70)*('rtp before multiplier'!B:B='total rtp'!B70),0))</f>
        <v>0.18391156070316492</v>
      </c>
      <c r="D70">
        <f>COMBIN(G70-B70,5-F70)*COMBIN(B70,F70)/$M$1</f>
        <v>0.56650246305418717</v>
      </c>
      <c r="E70" s="7">
        <f>C70*D70</f>
        <v>0.10418635212248259</v>
      </c>
      <c r="F70" s="5">
        <v>0</v>
      </c>
      <c r="G70" s="5">
        <v>30</v>
      </c>
      <c r="H70" s="8">
        <f>VLOOKUP(F70,$O$3:$P$8,2,FALSE)</f>
        <v>1</v>
      </c>
      <c r="I70">
        <v>2</v>
      </c>
      <c r="J70" s="6">
        <f>C70*D70*H70*I70</f>
        <v>0.20837270424496518</v>
      </c>
      <c r="K70" s="6">
        <f>SUM(J70:J103)</f>
        <v>1.5511061046723815</v>
      </c>
    </row>
    <row r="71" spans="1:11" ht="16.5" x14ac:dyDescent="0.2">
      <c r="A71">
        <v>11</v>
      </c>
      <c r="B71">
        <v>3</v>
      </c>
      <c r="C71" cm="1">
        <f t="array" ref="C71">INDEX('rtp before multiplier'!H:H,MATCH(1,('rtp before multiplier'!A:A='total rtp'!A71)*('rtp before multiplier'!B:B='total rtp'!B71),0))</f>
        <v>0.18391156070316492</v>
      </c>
      <c r="D71">
        <f>COMBIN(G71-B71,5-F71)*COMBIN(B71,F71)/$M$1</f>
        <v>0.36945812807881773</v>
      </c>
      <c r="E71" s="7">
        <f t="shared" ref="E71:E103" si="8">C71*D71</f>
        <v>6.7947620949445162E-2</v>
      </c>
      <c r="F71">
        <v>1</v>
      </c>
      <c r="G71" s="5">
        <v>30</v>
      </c>
      <c r="H71" s="8">
        <f t="shared" ref="H71:H103" si="9">VLOOKUP(F71,$O$3:$P$8,2,FALSE)</f>
        <v>2.76</v>
      </c>
      <c r="I71">
        <v>2</v>
      </c>
      <c r="J71" s="6">
        <f t="shared" ref="J71:J103" si="10">C71*D71*H71*I71</f>
        <v>0.37507086764093728</v>
      </c>
    </row>
    <row r="72" spans="1:11" ht="16.5" x14ac:dyDescent="0.2">
      <c r="A72">
        <v>11</v>
      </c>
      <c r="B72">
        <v>3</v>
      </c>
      <c r="C72" cm="1">
        <f t="array" ref="C72">INDEX('rtp before multiplier'!H:H,MATCH(1,('rtp before multiplier'!A:A='total rtp'!A72)*('rtp before multiplier'!B:B='total rtp'!B72),0))</f>
        <v>0.18391156070316492</v>
      </c>
      <c r="D72">
        <f t="shared" ref="D72:D103" si="11">COMBIN(G72-B72,5-F72)*COMBIN(B72,F72)/$M$1</f>
        <v>6.1576354679802957E-2</v>
      </c>
      <c r="E72" s="7">
        <f t="shared" si="8"/>
        <v>1.1324603491574195E-2</v>
      </c>
      <c r="F72">
        <v>2</v>
      </c>
      <c r="G72" s="5">
        <v>30</v>
      </c>
      <c r="H72" s="8">
        <f t="shared" si="9"/>
        <v>7.6176000000000004</v>
      </c>
      <c r="I72">
        <v>2</v>
      </c>
      <c r="J72" s="6">
        <f t="shared" si="10"/>
        <v>0.17253259911483118</v>
      </c>
    </row>
    <row r="73" spans="1:11" ht="16.5" x14ac:dyDescent="0.2">
      <c r="A73">
        <v>11</v>
      </c>
      <c r="B73">
        <v>3</v>
      </c>
      <c r="C73" cm="1">
        <f t="array" ref="C73">INDEX('rtp before multiplier'!H:H,MATCH(1,('rtp before multiplier'!A:A='total rtp'!A73)*('rtp before multiplier'!B:B='total rtp'!B73),0))</f>
        <v>0.18391156070316492</v>
      </c>
      <c r="D73">
        <f t="shared" si="11"/>
        <v>2.4630541871921183E-3</v>
      </c>
      <c r="E73" s="7">
        <f t="shared" si="8"/>
        <v>4.5298413966296779E-4</v>
      </c>
      <c r="F73">
        <v>3</v>
      </c>
      <c r="G73" s="5">
        <v>30</v>
      </c>
      <c r="H73" s="8">
        <f t="shared" si="9"/>
        <v>21.024576000000003</v>
      </c>
      <c r="I73">
        <v>2</v>
      </c>
      <c r="J73" s="6">
        <f t="shared" si="10"/>
        <v>1.9047598942277366E-2</v>
      </c>
    </row>
    <row r="74" spans="1:11" ht="16.5" x14ac:dyDescent="0.2">
      <c r="A74">
        <v>11</v>
      </c>
      <c r="B74">
        <v>5</v>
      </c>
      <c r="C74" cm="1">
        <f t="array" ref="C74">INDEX('rtp before multiplier'!H:H,MATCH(1,('rtp before multiplier'!A:A='total rtp'!A74)*('rtp before multiplier'!B:B='total rtp'!B74),0))</f>
        <v>2.4322454157536623E-2</v>
      </c>
      <c r="D74">
        <f t="shared" si="11"/>
        <v>0.37282640730916589</v>
      </c>
      <c r="E74" s="7">
        <f t="shared" si="8"/>
        <v>9.068053200496265E-3</v>
      </c>
      <c r="F74">
        <v>0</v>
      </c>
      <c r="G74" s="5">
        <v>30</v>
      </c>
      <c r="H74" s="8">
        <f t="shared" si="9"/>
        <v>1</v>
      </c>
      <c r="I74">
        <v>5</v>
      </c>
      <c r="J74" s="6">
        <f t="shared" si="10"/>
        <v>4.5340266002481325E-2</v>
      </c>
    </row>
    <row r="75" spans="1:11" ht="16.5" x14ac:dyDescent="0.2">
      <c r="A75">
        <v>11</v>
      </c>
      <c r="B75">
        <v>5</v>
      </c>
      <c r="C75" cm="1">
        <f t="array" ref="C75">INDEX('rtp before multiplier'!H:H,MATCH(1,('rtp before multiplier'!A:A='total rtp'!A75)*('rtp before multiplier'!B:B='total rtp'!B75),0))</f>
        <v>2.4322454157536623E-2</v>
      </c>
      <c r="D75">
        <f t="shared" si="11"/>
        <v>0.44384096108234045</v>
      </c>
      <c r="E75" s="7">
        <f t="shared" si="8"/>
        <v>1.0795301429162222E-2</v>
      </c>
      <c r="F75">
        <v>1</v>
      </c>
      <c r="G75" s="5">
        <v>30</v>
      </c>
      <c r="H75" s="8">
        <f t="shared" si="9"/>
        <v>2.76</v>
      </c>
      <c r="I75">
        <v>5</v>
      </c>
      <c r="J75" s="6">
        <f t="shared" si="10"/>
        <v>0.14897515972243866</v>
      </c>
    </row>
    <row r="76" spans="1:11" ht="16.5" x14ac:dyDescent="0.2">
      <c r="A76">
        <v>11</v>
      </c>
      <c r="B76">
        <v>5</v>
      </c>
      <c r="C76" cm="1">
        <f t="array" ref="C76">INDEX('rtp before multiplier'!H:H,MATCH(1,('rtp before multiplier'!A:A='total rtp'!A76)*('rtp before multiplier'!B:B='total rtp'!B76),0))</f>
        <v>2.4322454157536623E-2</v>
      </c>
      <c r="D76">
        <f t="shared" si="11"/>
        <v>0.16139671312085105</v>
      </c>
      <c r="E76" s="7">
        <f t="shared" si="8"/>
        <v>3.925564156058989E-3</v>
      </c>
      <c r="F76">
        <v>2</v>
      </c>
      <c r="G76" s="5">
        <v>30</v>
      </c>
      <c r="H76" s="8">
        <f t="shared" si="9"/>
        <v>7.6176000000000004</v>
      </c>
      <c r="I76">
        <v>5</v>
      </c>
      <c r="J76" s="6">
        <f t="shared" si="10"/>
        <v>0.14951688757597478</v>
      </c>
    </row>
    <row r="77" spans="1:11" ht="16.5" x14ac:dyDescent="0.2">
      <c r="A77">
        <v>11</v>
      </c>
      <c r="B77">
        <v>5</v>
      </c>
      <c r="C77" cm="1">
        <f t="array" ref="C77">INDEX('rtp before multiplier'!H:H,MATCH(1,('rtp before multiplier'!A:A='total rtp'!A77)*('rtp before multiplier'!B:B='total rtp'!B77),0))</f>
        <v>2.4322454157536623E-2</v>
      </c>
      <c r="D77">
        <f t="shared" si="11"/>
        <v>2.1051745189676223E-2</v>
      </c>
      <c r="E77" s="7">
        <f t="shared" si="8"/>
        <v>5.1203010731204208E-4</v>
      </c>
      <c r="F77">
        <v>3</v>
      </c>
      <c r="G77" s="5">
        <v>30</v>
      </c>
      <c r="H77" s="8">
        <f t="shared" si="9"/>
        <v>21.024576000000003</v>
      </c>
      <c r="I77">
        <v>5</v>
      </c>
      <c r="J77" s="6">
        <f t="shared" si="10"/>
        <v>5.3826079527350933E-2</v>
      </c>
    </row>
    <row r="78" spans="1:11" ht="16.5" x14ac:dyDescent="0.2">
      <c r="A78">
        <v>11</v>
      </c>
      <c r="B78">
        <v>5</v>
      </c>
      <c r="C78" cm="1">
        <f t="array" ref="C78">INDEX('rtp before multiplier'!H:H,MATCH(1,('rtp before multiplier'!A:A='total rtp'!A78)*('rtp before multiplier'!B:B='total rtp'!B78),0))</f>
        <v>2.4322454157536623E-2</v>
      </c>
      <c r="D78">
        <f t="shared" si="11"/>
        <v>8.7715604956984273E-4</v>
      </c>
      <c r="E78" s="7">
        <f t="shared" si="8"/>
        <v>2.133458780466842E-5</v>
      </c>
      <c r="F78">
        <v>4</v>
      </c>
      <c r="G78" s="5">
        <v>30</v>
      </c>
      <c r="H78" s="8">
        <f t="shared" si="9"/>
        <v>58.027829760000024</v>
      </c>
      <c r="I78">
        <v>5</v>
      </c>
      <c r="J78" s="6">
        <f t="shared" si="10"/>
        <v>6.1899991456453585E-3</v>
      </c>
    </row>
    <row r="79" spans="1:11" ht="16.5" x14ac:dyDescent="0.2">
      <c r="A79">
        <v>11</v>
      </c>
      <c r="B79">
        <v>5</v>
      </c>
      <c r="C79" cm="1">
        <f t="array" ref="C79">INDEX('rtp before multiplier'!H:H,MATCH(1,('rtp before multiplier'!A:A='total rtp'!A79)*('rtp before multiplier'!B:B='total rtp'!B79),0))</f>
        <v>2.4322454157536623E-2</v>
      </c>
      <c r="D79">
        <f t="shared" si="11"/>
        <v>7.0172483965587412E-6</v>
      </c>
      <c r="E79" s="7">
        <f t="shared" si="8"/>
        <v>1.7067670243734735E-7</v>
      </c>
      <c r="F79">
        <v>5</v>
      </c>
      <c r="G79" s="5">
        <v>30</v>
      </c>
      <c r="H79" s="8">
        <f t="shared" si="9"/>
        <v>160.1568101375999</v>
      </c>
      <c r="I79">
        <v>5</v>
      </c>
      <c r="J79" s="6">
        <f t="shared" si="10"/>
        <v>1.3667518113584938E-4</v>
      </c>
    </row>
    <row r="80" spans="1:11" ht="16.5" x14ac:dyDescent="0.2">
      <c r="A80">
        <v>11</v>
      </c>
      <c r="B80">
        <v>6</v>
      </c>
      <c r="C80" cm="1">
        <f t="array" ref="C80">INDEX('rtp before multiplier'!H:H,MATCH(1,('rtp before multiplier'!A:A='total rtp'!A80)*('rtp before multiplier'!B:B='total rtp'!B80),0))</f>
        <v>2.2350363279898511E-3</v>
      </c>
      <c r="D80">
        <f t="shared" si="11"/>
        <v>0.29826112584733272</v>
      </c>
      <c r="E80" s="7">
        <f t="shared" si="8"/>
        <v>6.6662445149594143E-4</v>
      </c>
      <c r="F80">
        <v>0</v>
      </c>
      <c r="G80" s="5">
        <v>30</v>
      </c>
      <c r="H80" s="8">
        <f t="shared" si="9"/>
        <v>1</v>
      </c>
      <c r="I80">
        <v>5</v>
      </c>
      <c r="J80" s="6">
        <f t="shared" si="10"/>
        <v>3.3331222574797073E-3</v>
      </c>
    </row>
    <row r="81" spans="1:10" ht="16.5" x14ac:dyDescent="0.2">
      <c r="A81">
        <v>11</v>
      </c>
      <c r="B81">
        <v>6</v>
      </c>
      <c r="C81" cm="1">
        <f t="array" ref="C81">INDEX('rtp before multiplier'!H:H,MATCH(1,('rtp before multiplier'!A:A='total rtp'!A81)*('rtp before multiplier'!B:B='total rtp'!B81),0))</f>
        <v>2.2350363279898511E-3</v>
      </c>
      <c r="D81">
        <f t="shared" si="11"/>
        <v>0.44739168877099911</v>
      </c>
      <c r="E81" s="7">
        <f t="shared" si="8"/>
        <v>9.9993667724391209E-4</v>
      </c>
      <c r="F81">
        <v>1</v>
      </c>
      <c r="G81" s="5">
        <v>30</v>
      </c>
      <c r="H81" s="8">
        <f t="shared" si="9"/>
        <v>2.76</v>
      </c>
      <c r="I81">
        <v>5</v>
      </c>
      <c r="J81" s="6">
        <f t="shared" si="10"/>
        <v>1.3799126145965984E-2</v>
      </c>
    </row>
    <row r="82" spans="1:10" ht="16.5" x14ac:dyDescent="0.2">
      <c r="A82">
        <v>11</v>
      </c>
      <c r="B82">
        <v>6</v>
      </c>
      <c r="C82" cm="1">
        <f t="array" ref="C82">INDEX('rtp before multiplier'!H:H,MATCH(1,('rtp before multiplier'!A:A='total rtp'!A82)*('rtp before multiplier'!B:B='total rtp'!B82),0))</f>
        <v>2.2350363279898511E-3</v>
      </c>
      <c r="D82">
        <f t="shared" si="11"/>
        <v>0.2130436613195234</v>
      </c>
      <c r="E82" s="7">
        <f t="shared" si="8"/>
        <v>4.7616032249710107E-4</v>
      </c>
      <c r="F82">
        <v>2</v>
      </c>
      <c r="G82" s="5">
        <v>30</v>
      </c>
      <c r="H82" s="8">
        <f t="shared" si="9"/>
        <v>7.6176000000000004</v>
      </c>
      <c r="I82">
        <v>5</v>
      </c>
      <c r="J82" s="6">
        <f t="shared" si="10"/>
        <v>1.8135994363269587E-2</v>
      </c>
    </row>
    <row r="83" spans="1:10" ht="16.5" x14ac:dyDescent="0.2">
      <c r="A83">
        <v>11</v>
      </c>
      <c r="B83">
        <v>6</v>
      </c>
      <c r="C83" cm="1">
        <f t="array" ref="C83">INDEX('rtp before multiplier'!H:H,MATCH(1,('rtp before multiplier'!A:A='total rtp'!A83)*('rtp before multiplier'!B:B='total rtp'!B83),0))</f>
        <v>2.2350363279898511E-3</v>
      </c>
      <c r="D83">
        <f t="shared" si="11"/>
        <v>3.8735211149004252E-2</v>
      </c>
      <c r="E83" s="7">
        <f t="shared" si="8"/>
        <v>8.6574604090382007E-5</v>
      </c>
      <c r="F83">
        <v>3</v>
      </c>
      <c r="G83" s="5">
        <v>30</v>
      </c>
      <c r="H83" s="8">
        <f t="shared" si="9"/>
        <v>21.024576000000003</v>
      </c>
      <c r="I83">
        <v>5</v>
      </c>
      <c r="J83" s="6">
        <f t="shared" si="10"/>
        <v>9.1009717168407389E-3</v>
      </c>
    </row>
    <row r="84" spans="1:10" ht="16.5" x14ac:dyDescent="0.2">
      <c r="A84">
        <v>11</v>
      </c>
      <c r="B84">
        <v>6</v>
      </c>
      <c r="C84" cm="1">
        <f t="array" ref="C84">INDEX('rtp before multiplier'!H:H,MATCH(1,('rtp before multiplier'!A:A='total rtp'!A84)*('rtp before multiplier'!B:B='total rtp'!B84),0))</f>
        <v>2.2350363279898511E-3</v>
      </c>
      <c r="D84">
        <f t="shared" si="11"/>
        <v>2.526209422761147E-3</v>
      </c>
      <c r="E84" s="7">
        <f t="shared" si="8"/>
        <v>5.6461698319814357E-6</v>
      </c>
      <c r="F84">
        <v>4</v>
      </c>
      <c r="G84" s="5">
        <v>30</v>
      </c>
      <c r="H84" s="8">
        <f t="shared" si="9"/>
        <v>58.027829760000024</v>
      </c>
      <c r="I84">
        <v>5</v>
      </c>
      <c r="J84" s="6">
        <f t="shared" si="10"/>
        <v>1.6381749090313336E-3</v>
      </c>
    </row>
    <row r="85" spans="1:10" ht="16.5" x14ac:dyDescent="0.2">
      <c r="A85">
        <v>11</v>
      </c>
      <c r="B85">
        <v>6</v>
      </c>
      <c r="C85" cm="1">
        <f t="array" ref="C85">INDEX('rtp before multiplier'!H:H,MATCH(1,('rtp before multiplier'!A:A='total rtp'!A85)*('rtp before multiplier'!B:B='total rtp'!B85),0))</f>
        <v>2.2350363279898511E-3</v>
      </c>
      <c r="D85">
        <f t="shared" si="11"/>
        <v>4.2103490379352447E-5</v>
      </c>
      <c r="E85" s="7">
        <f t="shared" si="8"/>
        <v>9.4102830533023922E-8</v>
      </c>
      <c r="F85">
        <v>5</v>
      </c>
      <c r="G85" s="5">
        <v>30</v>
      </c>
      <c r="H85" s="8">
        <f t="shared" si="9"/>
        <v>160.1568101375999</v>
      </c>
      <c r="I85">
        <v>5</v>
      </c>
      <c r="J85" s="6">
        <f t="shared" si="10"/>
        <v>7.5356045815441259E-5</v>
      </c>
    </row>
    <row r="86" spans="1:10" ht="16.5" x14ac:dyDescent="0.2">
      <c r="A86">
        <v>11</v>
      </c>
      <c r="B86">
        <v>7</v>
      </c>
      <c r="C86" cm="1">
        <f t="array" ref="C86">INDEX('rtp before multiplier'!H:H,MATCH(1,('rtp before multiplier'!A:A='total rtp'!A86)*('rtp before multiplier'!B:B='total rtp'!B86),0))</f>
        <v>1.9720908776381047E-3</v>
      </c>
      <c r="D86">
        <f t="shared" si="11"/>
        <v>0.23612339129580515</v>
      </c>
      <c r="E86" s="7">
        <f t="shared" si="8"/>
        <v>4.6565678597142998E-4</v>
      </c>
      <c r="F86">
        <v>0</v>
      </c>
      <c r="G86" s="5">
        <v>30</v>
      </c>
      <c r="H86" s="8">
        <f t="shared" si="9"/>
        <v>1</v>
      </c>
      <c r="I86">
        <v>25</v>
      </c>
      <c r="J86" s="6">
        <f t="shared" si="10"/>
        <v>1.164141964928575E-2</v>
      </c>
    </row>
    <row r="87" spans="1:10" ht="16.5" x14ac:dyDescent="0.2">
      <c r="A87">
        <v>11</v>
      </c>
      <c r="B87">
        <v>7</v>
      </c>
      <c r="C87" cm="1">
        <f t="array" ref="C87">INDEX('rtp before multiplier'!H:H,MATCH(1,('rtp before multiplier'!A:A='total rtp'!A87)*('rtp before multiplier'!B:B='total rtp'!B87),0))</f>
        <v>1.9720908776381047E-3</v>
      </c>
      <c r="D87">
        <f t="shared" si="11"/>
        <v>0.4349641418606936</v>
      </c>
      <c r="E87" s="7">
        <f t="shared" si="8"/>
        <v>8.5778881626316032E-4</v>
      </c>
      <c r="F87">
        <v>1</v>
      </c>
      <c r="G87" s="5">
        <v>30</v>
      </c>
      <c r="H87" s="8">
        <f t="shared" si="9"/>
        <v>2.76</v>
      </c>
      <c r="I87">
        <v>25</v>
      </c>
      <c r="J87" s="6">
        <f t="shared" si="10"/>
        <v>5.9187428322158057E-2</v>
      </c>
    </row>
    <row r="88" spans="1:10" ht="16.5" x14ac:dyDescent="0.2">
      <c r="A88">
        <v>11</v>
      </c>
      <c r="B88">
        <v>7</v>
      </c>
      <c r="C88" cm="1">
        <f t="array" ref="C88">INDEX('rtp before multiplier'!H:H,MATCH(1,('rtp before multiplier'!A:A='total rtp'!A88)*('rtp before multiplier'!B:B='total rtp'!B88),0))</f>
        <v>1.9720908776381047E-3</v>
      </c>
      <c r="D88">
        <f t="shared" si="11"/>
        <v>0.26097848511641614</v>
      </c>
      <c r="E88" s="7">
        <f t="shared" si="8"/>
        <v>5.1467328975789617E-4</v>
      </c>
      <c r="F88">
        <v>2</v>
      </c>
      <c r="G88" s="5">
        <v>30</v>
      </c>
      <c r="H88" s="8">
        <f t="shared" si="9"/>
        <v>7.6176000000000004</v>
      </c>
      <c r="I88">
        <v>25</v>
      </c>
      <c r="J88" s="6">
        <f t="shared" si="10"/>
        <v>9.8014381301493744E-2</v>
      </c>
    </row>
    <row r="89" spans="1:10" ht="16.5" x14ac:dyDescent="0.2">
      <c r="A89">
        <v>11</v>
      </c>
      <c r="B89">
        <v>7</v>
      </c>
      <c r="C89" cm="1">
        <f t="array" ref="C89">INDEX('rtp before multiplier'!H:H,MATCH(1,('rtp before multiplier'!A:A='total rtp'!A89)*('rtp before multiplier'!B:B='total rtp'!B89),0))</f>
        <v>1.9720908776381047E-3</v>
      </c>
      <c r="D89">
        <f t="shared" si="11"/>
        <v>6.2137734551527657E-2</v>
      </c>
      <c r="E89" s="7">
        <f t="shared" si="8"/>
        <v>1.2254125946616575E-4</v>
      </c>
      <c r="F89">
        <v>3</v>
      </c>
      <c r="G89" s="5">
        <v>30</v>
      </c>
      <c r="H89" s="8">
        <f t="shared" si="9"/>
        <v>21.024576000000003</v>
      </c>
      <c r="I89">
        <v>25</v>
      </c>
      <c r="J89" s="6">
        <f t="shared" si="10"/>
        <v>6.4409450569553037E-2</v>
      </c>
    </row>
    <row r="90" spans="1:10" ht="16.5" x14ac:dyDescent="0.2">
      <c r="A90">
        <v>11</v>
      </c>
      <c r="B90">
        <v>7</v>
      </c>
      <c r="C90" cm="1">
        <f t="array" ref="C90">INDEX('rtp before multiplier'!H:H,MATCH(1,('rtp before multiplier'!A:A='total rtp'!A90)*('rtp before multiplier'!B:B='total rtp'!B90),0))</f>
        <v>1.9720908776381047E-3</v>
      </c>
      <c r="D90">
        <f t="shared" si="11"/>
        <v>5.6488849592297866E-3</v>
      </c>
      <c r="E90" s="7">
        <f t="shared" si="8"/>
        <v>1.1140114496924159E-5</v>
      </c>
      <c r="F90">
        <v>4</v>
      </c>
      <c r="G90" s="5">
        <v>30</v>
      </c>
      <c r="H90" s="8">
        <f t="shared" si="9"/>
        <v>58.027829760000024</v>
      </c>
      <c r="I90">
        <v>25</v>
      </c>
      <c r="J90" s="6">
        <f t="shared" si="10"/>
        <v>1.6160916688360585E-2</v>
      </c>
    </row>
    <row r="91" spans="1:10" ht="16.5" x14ac:dyDescent="0.2">
      <c r="A91">
        <v>11</v>
      </c>
      <c r="B91">
        <v>7</v>
      </c>
      <c r="C91" cm="1">
        <f t="array" ref="C91">INDEX('rtp before multiplier'!H:H,MATCH(1,('rtp before multiplier'!A:A='total rtp'!A91)*('rtp before multiplier'!B:B='total rtp'!B91),0))</f>
        <v>1.9720908776381047E-3</v>
      </c>
      <c r="D91">
        <f t="shared" si="11"/>
        <v>1.4736221632773356E-4</v>
      </c>
      <c r="E91" s="7">
        <f t="shared" si="8"/>
        <v>2.9061168252845633E-7</v>
      </c>
      <c r="F91">
        <v>5</v>
      </c>
      <c r="G91" s="5">
        <v>30</v>
      </c>
      <c r="H91" s="8">
        <f t="shared" si="9"/>
        <v>160.1568101375999</v>
      </c>
      <c r="I91">
        <v>25</v>
      </c>
      <c r="J91" s="6">
        <f t="shared" si="10"/>
        <v>1.1635860015619609E-3</v>
      </c>
    </row>
    <row r="92" spans="1:10" ht="16.5" x14ac:dyDescent="0.2">
      <c r="A92">
        <v>11</v>
      </c>
      <c r="B92">
        <v>8</v>
      </c>
      <c r="C92" cm="1">
        <f t="array" ref="C92">INDEX('rtp before multiplier'!H:H,MATCH(1,('rtp before multiplier'!A:A='total rtp'!A92)*('rtp before multiplier'!B:B='total rtp'!B92),0))</f>
        <v>2.1912120862645608E-4</v>
      </c>
      <c r="D92">
        <f t="shared" si="11"/>
        <v>0.18479221927497791</v>
      </c>
      <c r="E92" s="7">
        <f t="shared" si="8"/>
        <v>4.0491894432298255E-5</v>
      </c>
      <c r="F92">
        <v>0</v>
      </c>
      <c r="G92" s="5">
        <v>30</v>
      </c>
      <c r="H92" s="8">
        <f t="shared" si="9"/>
        <v>1</v>
      </c>
      <c r="I92">
        <v>50</v>
      </c>
      <c r="J92" s="6">
        <f t="shared" si="10"/>
        <v>2.0245947216149126E-3</v>
      </c>
    </row>
    <row r="93" spans="1:10" ht="16.5" x14ac:dyDescent="0.2">
      <c r="A93">
        <v>11</v>
      </c>
      <c r="B93">
        <v>8</v>
      </c>
      <c r="C93" cm="1">
        <f t="array" ref="C93">INDEX('rtp before multiplier'!H:H,MATCH(1,('rtp before multiplier'!A:A='total rtp'!A93)*('rtp before multiplier'!B:B='total rtp'!B93),0))</f>
        <v>2.1912120862645608E-4</v>
      </c>
      <c r="D93">
        <f t="shared" si="11"/>
        <v>0.41064937616661756</v>
      </c>
      <c r="E93" s="7">
        <f t="shared" si="8"/>
        <v>8.9981987627329451E-5</v>
      </c>
      <c r="F93">
        <v>1</v>
      </c>
      <c r="G93" s="5">
        <v>30</v>
      </c>
      <c r="H93" s="8">
        <f t="shared" si="9"/>
        <v>2.76</v>
      </c>
      <c r="I93">
        <v>50</v>
      </c>
      <c r="J93" s="6">
        <f t="shared" si="10"/>
        <v>1.2417514292571463E-2</v>
      </c>
    </row>
    <row r="94" spans="1:10" ht="16.5" x14ac:dyDescent="0.2">
      <c r="A94">
        <v>11</v>
      </c>
      <c r="B94">
        <v>8</v>
      </c>
      <c r="C94" cm="1">
        <f t="array" ref="C94">INDEX('rtp before multiplier'!H:H,MATCH(1,('rtp before multiplier'!A:A='total rtp'!A94)*('rtp before multiplier'!B:B='total rtp'!B94),0))</f>
        <v>2.1912120862645608E-4</v>
      </c>
      <c r="D94">
        <f t="shared" si="11"/>
        <v>0.30258375085961292</v>
      </c>
      <c r="E94" s="7">
        <f t="shared" si="8"/>
        <v>6.6302517199084846E-5</v>
      </c>
      <c r="F94">
        <v>2</v>
      </c>
      <c r="G94" s="5">
        <v>30</v>
      </c>
      <c r="H94" s="8">
        <f t="shared" si="9"/>
        <v>7.6176000000000004</v>
      </c>
      <c r="I94">
        <v>50</v>
      </c>
      <c r="J94" s="6">
        <f t="shared" si="10"/>
        <v>2.5253302750787437E-2</v>
      </c>
    </row>
    <row r="95" spans="1:10" ht="16.5" x14ac:dyDescent="0.2">
      <c r="A95">
        <v>11</v>
      </c>
      <c r="B95">
        <v>8</v>
      </c>
      <c r="C95" cm="1">
        <f t="array" ref="C95">INDEX('rtp before multiplier'!H:H,MATCH(1,('rtp before multiplier'!A:A='total rtp'!A95)*('rtp before multiplier'!B:B='total rtp'!B95),0))</f>
        <v>2.1912120862645608E-4</v>
      </c>
      <c r="D95">
        <f t="shared" si="11"/>
        <v>9.0775125257883879E-2</v>
      </c>
      <c r="E95" s="7">
        <f t="shared" si="8"/>
        <v>1.9890755159725456E-5</v>
      </c>
      <c r="F95">
        <v>3</v>
      </c>
      <c r="G95" s="5">
        <v>30</v>
      </c>
      <c r="H95" s="8">
        <f t="shared" si="9"/>
        <v>21.024576000000003</v>
      </c>
      <c r="I95">
        <v>50</v>
      </c>
      <c r="J95" s="6">
        <f t="shared" si="10"/>
        <v>2.0909734677652003E-2</v>
      </c>
    </row>
    <row r="96" spans="1:10" ht="16.5" x14ac:dyDescent="0.2">
      <c r="A96">
        <v>11</v>
      </c>
      <c r="B96">
        <v>8</v>
      </c>
      <c r="C96" cm="1">
        <f t="array" ref="C96">INDEX('rtp before multiplier'!H:H,MATCH(1,('rtp before multiplier'!A:A='total rtp'!A96)*('rtp before multiplier'!B:B='total rtp'!B96),0))</f>
        <v>2.1912120862645608E-4</v>
      </c>
      <c r="D96">
        <f t="shared" si="11"/>
        <v>1.0806562530700461E-2</v>
      </c>
      <c r="E96" s="7">
        <f t="shared" si="8"/>
        <v>2.3679470428244591E-6</v>
      </c>
      <c r="F96">
        <v>4</v>
      </c>
      <c r="G96" s="5">
        <v>30</v>
      </c>
      <c r="H96" s="8">
        <f t="shared" si="9"/>
        <v>58.027829760000024</v>
      </c>
      <c r="I96">
        <v>50</v>
      </c>
      <c r="J96" s="6">
        <f t="shared" si="10"/>
        <v>6.8703413940856602E-3</v>
      </c>
    </row>
    <row r="97" spans="1:11" ht="16.5" x14ac:dyDescent="0.2">
      <c r="A97">
        <v>11</v>
      </c>
      <c r="B97">
        <v>8</v>
      </c>
      <c r="C97" cm="1">
        <f t="array" ref="C97">INDEX('rtp before multiplier'!H:H,MATCH(1,('rtp before multiplier'!A:A='total rtp'!A97)*('rtp before multiplier'!B:B='total rtp'!B97),0))</f>
        <v>2.1912120862645608E-4</v>
      </c>
      <c r="D97">
        <f t="shared" si="11"/>
        <v>3.9296591020728953E-4</v>
      </c>
      <c r="E97" s="7">
        <f t="shared" si="8"/>
        <v>8.6107165193616691E-8</v>
      </c>
      <c r="F97">
        <v>5</v>
      </c>
      <c r="G97" s="5">
        <v>30</v>
      </c>
      <c r="H97" s="8">
        <f t="shared" si="9"/>
        <v>160.1568101375999</v>
      </c>
      <c r="I97">
        <v>50</v>
      </c>
      <c r="J97" s="6">
        <f t="shared" si="10"/>
        <v>6.8953244537005092E-4</v>
      </c>
    </row>
    <row r="98" spans="1:11" ht="16.5" x14ac:dyDescent="0.2">
      <c r="A98">
        <v>11</v>
      </c>
      <c r="B98">
        <v>9</v>
      </c>
      <c r="C98" cm="1">
        <f t="array" ref="C98">INDEX('rtp before multiplier'!H:H,MATCH(1,('rtp before multiplier'!A:A='total rtp'!A98)*('rtp before multiplier'!B:B='total rtp'!B98),0))</f>
        <v>3.8442317302887036E-6</v>
      </c>
      <c r="D98">
        <f t="shared" si="11"/>
        <v>0.14279398762157383</v>
      </c>
      <c r="E98" s="7">
        <f t="shared" si="8"/>
        <v>5.4893317810930655E-7</v>
      </c>
      <c r="F98">
        <v>0</v>
      </c>
      <c r="G98" s="5">
        <v>30</v>
      </c>
      <c r="H98" s="8">
        <f t="shared" si="9"/>
        <v>1</v>
      </c>
      <c r="I98">
        <v>250</v>
      </c>
      <c r="J98" s="6">
        <f t="shared" si="10"/>
        <v>1.3723329452732663E-4</v>
      </c>
    </row>
    <row r="99" spans="1:11" ht="16.5" x14ac:dyDescent="0.2">
      <c r="A99">
        <v>11</v>
      </c>
      <c r="B99">
        <v>9</v>
      </c>
      <c r="C99" cm="1">
        <f t="array" ref="C99">INDEX('rtp before multiplier'!H:H,MATCH(1,('rtp before multiplier'!A:A='total rtp'!A99)*('rtp before multiplier'!B:B='total rtp'!B99),0))</f>
        <v>3.8442317302887036E-6</v>
      </c>
      <c r="D99">
        <f t="shared" si="11"/>
        <v>0.37798408488063662</v>
      </c>
      <c r="E99" s="7">
        <f t="shared" si="8"/>
        <v>1.453058412642282E-6</v>
      </c>
      <c r="F99">
        <v>1</v>
      </c>
      <c r="G99" s="5">
        <v>30</v>
      </c>
      <c r="H99" s="8">
        <f t="shared" si="9"/>
        <v>2.76</v>
      </c>
      <c r="I99">
        <v>250</v>
      </c>
      <c r="J99" s="6">
        <f t="shared" si="10"/>
        <v>1.0026103047231746E-3</v>
      </c>
    </row>
    <row r="100" spans="1:11" ht="16.5" x14ac:dyDescent="0.2">
      <c r="A100">
        <v>11</v>
      </c>
      <c r="B100">
        <v>9</v>
      </c>
      <c r="C100" cm="1">
        <f t="array" ref="C100">INDEX('rtp before multiplier'!H:H,MATCH(1,('rtp before multiplier'!A:A='total rtp'!A100)*('rtp before multiplier'!B:B='total rtp'!B100),0))</f>
        <v>3.8442317302887036E-6</v>
      </c>
      <c r="D100">
        <f t="shared" si="11"/>
        <v>0.33598585322723251</v>
      </c>
      <c r="E100" s="7">
        <f t="shared" si="8"/>
        <v>1.2916074779042504E-6</v>
      </c>
      <c r="F100">
        <v>2</v>
      </c>
      <c r="G100" s="5">
        <v>30</v>
      </c>
      <c r="H100" s="8">
        <f t="shared" si="9"/>
        <v>7.6176000000000004</v>
      </c>
      <c r="I100">
        <v>250</v>
      </c>
      <c r="J100" s="6">
        <f t="shared" si="10"/>
        <v>2.4597372809208543E-3</v>
      </c>
    </row>
    <row r="101" spans="1:11" ht="16.5" x14ac:dyDescent="0.2">
      <c r="A101">
        <v>11</v>
      </c>
      <c r="B101">
        <v>9</v>
      </c>
      <c r="C101" cm="1">
        <f t="array" ref="C101">INDEX('rtp before multiplier'!H:H,MATCH(1,('rtp before multiplier'!A:A='total rtp'!A101)*('rtp before multiplier'!B:B='total rtp'!B101),0))</f>
        <v>3.8442317302887036E-6</v>
      </c>
      <c r="D101">
        <f t="shared" si="11"/>
        <v>0.12378426171529618</v>
      </c>
      <c r="E101" s="7">
        <f t="shared" si="8"/>
        <v>4.7585538659630274E-7</v>
      </c>
      <c r="F101">
        <v>3</v>
      </c>
      <c r="G101" s="5">
        <v>30</v>
      </c>
      <c r="H101" s="8">
        <f t="shared" si="9"/>
        <v>21.024576000000003</v>
      </c>
      <c r="I101">
        <v>250</v>
      </c>
      <c r="J101" s="6">
        <f t="shared" si="10"/>
        <v>2.5011644351258374E-3</v>
      </c>
    </row>
    <row r="102" spans="1:11" ht="16.5" x14ac:dyDescent="0.2">
      <c r="A102">
        <v>11</v>
      </c>
      <c r="B102">
        <v>9</v>
      </c>
      <c r="C102" cm="1">
        <f t="array" ref="C102">INDEX('rtp before multiplier'!H:H,MATCH(1,('rtp before multiplier'!A:A='total rtp'!A102)*('rtp before multiplier'!B:B='total rtp'!B102),0))</f>
        <v>3.8442317302887036E-6</v>
      </c>
      <c r="D102">
        <f t="shared" si="11"/>
        <v>1.8567639257294429E-2</v>
      </c>
      <c r="E102" s="7">
        <f t="shared" si="8"/>
        <v>7.1378307989445425E-8</v>
      </c>
      <c r="F102">
        <v>4</v>
      </c>
      <c r="G102" s="5">
        <v>30</v>
      </c>
      <c r="H102" s="8">
        <f t="shared" si="9"/>
        <v>58.027829760000024</v>
      </c>
      <c r="I102">
        <v>250</v>
      </c>
      <c r="J102" s="6">
        <f t="shared" si="10"/>
        <v>1.0354820761420973E-3</v>
      </c>
    </row>
    <row r="103" spans="1:11" ht="16.5" x14ac:dyDescent="0.2">
      <c r="A103">
        <v>11</v>
      </c>
      <c r="B103">
        <v>9</v>
      </c>
      <c r="C103" cm="1">
        <f t="array" ref="C103">INDEX('rtp before multiplier'!H:H,MATCH(1,('rtp before multiplier'!A:A='total rtp'!A103)*('rtp before multiplier'!B:B='total rtp'!B103),0))</f>
        <v>3.8442317302887036E-6</v>
      </c>
      <c r="D103">
        <f t="shared" si="11"/>
        <v>8.8417329796640137E-4</v>
      </c>
      <c r="E103" s="7">
        <f t="shared" si="8"/>
        <v>3.3989670471164486E-9</v>
      </c>
      <c r="F103">
        <v>5</v>
      </c>
      <c r="G103" s="5">
        <v>30</v>
      </c>
      <c r="H103" s="8">
        <f t="shared" si="9"/>
        <v>160.1568101375999</v>
      </c>
      <c r="I103">
        <v>250</v>
      </c>
      <c r="J103" s="6">
        <f t="shared" si="10"/>
        <v>1.3609193000724691E-4</v>
      </c>
    </row>
    <row r="104" spans="1:11" ht="16.5" x14ac:dyDescent="0.2">
      <c r="A104">
        <v>12</v>
      </c>
      <c r="B104">
        <v>3</v>
      </c>
      <c r="C104" cm="1">
        <f t="array" ref="C104">INDEX('rtp before multiplier'!H:H,MATCH(1,('rtp before multiplier'!A:A='total rtp'!A104)*('rtp before multiplier'!B:B='total rtp'!B104),0))</f>
        <v>0.22446710710578777</v>
      </c>
      <c r="D104">
        <f>COMBIN(G104-B104,5-F104)*COMBIN(B104,F104)/$M$1</f>
        <v>0.56650246305418717</v>
      </c>
      <c r="E104" s="7">
        <f>C104*D104</f>
        <v>0.12716116905007679</v>
      </c>
      <c r="F104" s="5">
        <v>0</v>
      </c>
      <c r="G104" s="5">
        <v>30</v>
      </c>
      <c r="H104" s="8">
        <f>VLOOKUP(F104,$O$3:$P$8,2,FALSE)</f>
        <v>1</v>
      </c>
      <c r="I104">
        <v>2</v>
      </c>
      <c r="J104" s="6">
        <f>C104*D104*H104*I104</f>
        <v>0.25432233810015359</v>
      </c>
      <c r="K104" s="6">
        <f>SUM(J104:J137)</f>
        <v>2.430887149416201</v>
      </c>
    </row>
    <row r="105" spans="1:11" ht="16.5" x14ac:dyDescent="0.2">
      <c r="A105">
        <v>12</v>
      </c>
      <c r="B105">
        <v>3</v>
      </c>
      <c r="C105" cm="1">
        <f t="array" ref="C105">INDEX('rtp before multiplier'!H:H,MATCH(1,('rtp before multiplier'!A:A='total rtp'!A105)*('rtp before multiplier'!B:B='total rtp'!B105),0))</f>
        <v>0.22446710710578777</v>
      </c>
      <c r="D105">
        <f>COMBIN(G105-B105,5-F105)*COMBIN(B105,F105)/$M$1</f>
        <v>0.36945812807881773</v>
      </c>
      <c r="E105" s="7">
        <f t="shared" ref="E105:E137" si="12">C105*D105</f>
        <v>8.2931197206571827E-2</v>
      </c>
      <c r="F105">
        <v>1</v>
      </c>
      <c r="G105" s="5">
        <v>30</v>
      </c>
      <c r="H105" s="8">
        <f t="shared" ref="H105:H137" si="13">VLOOKUP(F105,$O$3:$P$8,2,FALSE)</f>
        <v>2.76</v>
      </c>
      <c r="I105">
        <v>2</v>
      </c>
      <c r="J105" s="6">
        <f t="shared" ref="J105:J137" si="14">C105*D105*H105*I105</f>
        <v>0.45778020858027646</v>
      </c>
    </row>
    <row r="106" spans="1:11" ht="16.5" x14ac:dyDescent="0.2">
      <c r="A106">
        <v>12</v>
      </c>
      <c r="B106">
        <v>3</v>
      </c>
      <c r="C106" cm="1">
        <f t="array" ref="C106">INDEX('rtp before multiplier'!H:H,MATCH(1,('rtp before multiplier'!A:A='total rtp'!A106)*('rtp before multiplier'!B:B='total rtp'!B106),0))</f>
        <v>0.22446710710578777</v>
      </c>
      <c r="D106">
        <f t="shared" ref="D106:D137" si="15">COMBIN(G106-B106,5-F106)*COMBIN(B106,F106)/$M$1</f>
        <v>6.1576354679802957E-2</v>
      </c>
      <c r="E106" s="7">
        <f t="shared" si="12"/>
        <v>1.3821866201095306E-2</v>
      </c>
      <c r="F106">
        <v>2</v>
      </c>
      <c r="G106" s="5">
        <v>30</v>
      </c>
      <c r="H106" s="8">
        <f t="shared" si="13"/>
        <v>7.6176000000000004</v>
      </c>
      <c r="I106">
        <v>2</v>
      </c>
      <c r="J106" s="6">
        <f t="shared" si="14"/>
        <v>0.21057889594692722</v>
      </c>
    </row>
    <row r="107" spans="1:11" ht="16.5" x14ac:dyDescent="0.2">
      <c r="A107">
        <v>12</v>
      </c>
      <c r="B107">
        <v>3</v>
      </c>
      <c r="C107" cm="1">
        <f t="array" ref="C107">INDEX('rtp before multiplier'!H:H,MATCH(1,('rtp before multiplier'!A:A='total rtp'!A107)*('rtp before multiplier'!B:B='total rtp'!B107),0))</f>
        <v>0.22446710710578777</v>
      </c>
      <c r="D107">
        <f t="shared" si="15"/>
        <v>2.4630541871921183E-3</v>
      </c>
      <c r="E107" s="7">
        <f t="shared" si="12"/>
        <v>5.5287464804381226E-4</v>
      </c>
      <c r="F107">
        <v>3</v>
      </c>
      <c r="G107" s="5">
        <v>30</v>
      </c>
      <c r="H107" s="8">
        <f t="shared" si="13"/>
        <v>21.024576000000003</v>
      </c>
      <c r="I107">
        <v>2</v>
      </c>
      <c r="J107" s="6">
        <f t="shared" si="14"/>
        <v>2.3247910112540768E-2</v>
      </c>
    </row>
    <row r="108" spans="1:11" ht="16.5" x14ac:dyDescent="0.2">
      <c r="A108">
        <v>12</v>
      </c>
      <c r="B108">
        <v>5</v>
      </c>
      <c r="C108" cm="1">
        <f t="array" ref="C108">INDEX('rtp before multiplier'!H:H,MATCH(1,('rtp before multiplier'!A:A='total rtp'!A108)*('rtp before multiplier'!B:B='total rtp'!B108),0))</f>
        <v>3.891988071898117E-2</v>
      </c>
      <c r="D108">
        <f t="shared" si="15"/>
        <v>0.37282640730916589</v>
      </c>
      <c r="E108" s="7">
        <f t="shared" si="12"/>
        <v>1.4510359301359025E-2</v>
      </c>
      <c r="F108">
        <v>0</v>
      </c>
      <c r="G108" s="5">
        <v>30</v>
      </c>
      <c r="H108" s="8">
        <f t="shared" si="13"/>
        <v>1</v>
      </c>
      <c r="I108">
        <v>5</v>
      </c>
      <c r="J108" s="6">
        <f t="shared" si="14"/>
        <v>7.2551796506795121E-2</v>
      </c>
    </row>
    <row r="109" spans="1:11" ht="16.5" x14ac:dyDescent="0.2">
      <c r="A109">
        <v>12</v>
      </c>
      <c r="B109">
        <v>5</v>
      </c>
      <c r="C109" cm="1">
        <f t="array" ref="C109">INDEX('rtp before multiplier'!H:H,MATCH(1,('rtp before multiplier'!A:A='total rtp'!A109)*('rtp before multiplier'!B:B='total rtp'!B109),0))</f>
        <v>3.891988071898117E-2</v>
      </c>
      <c r="D109">
        <f t="shared" si="15"/>
        <v>0.44384096108234045</v>
      </c>
      <c r="E109" s="7">
        <f t="shared" si="12"/>
        <v>1.7274237263522653E-2</v>
      </c>
      <c r="F109">
        <v>1</v>
      </c>
      <c r="G109" s="5">
        <v>30</v>
      </c>
      <c r="H109" s="8">
        <f t="shared" si="13"/>
        <v>2.76</v>
      </c>
      <c r="I109">
        <v>5</v>
      </c>
      <c r="J109" s="6">
        <f t="shared" si="14"/>
        <v>0.23838447423661258</v>
      </c>
    </row>
    <row r="110" spans="1:11" ht="16.5" x14ac:dyDescent="0.2">
      <c r="A110">
        <v>12</v>
      </c>
      <c r="B110">
        <v>5</v>
      </c>
      <c r="C110" cm="1">
        <f t="array" ref="C110">INDEX('rtp before multiplier'!H:H,MATCH(1,('rtp before multiplier'!A:A='total rtp'!A110)*('rtp before multiplier'!B:B='total rtp'!B110),0))</f>
        <v>3.891988071898117E-2</v>
      </c>
      <c r="D110">
        <f t="shared" si="15"/>
        <v>0.16139671312085105</v>
      </c>
      <c r="E110" s="7">
        <f t="shared" si="12"/>
        <v>6.2815408230991457E-3</v>
      </c>
      <c r="F110">
        <v>2</v>
      </c>
      <c r="G110" s="5">
        <v>30</v>
      </c>
      <c r="H110" s="8">
        <f t="shared" si="13"/>
        <v>7.6176000000000004</v>
      </c>
      <c r="I110">
        <v>5</v>
      </c>
      <c r="J110" s="6">
        <f t="shared" si="14"/>
        <v>0.23925132687020026</v>
      </c>
    </row>
    <row r="111" spans="1:11" ht="16.5" x14ac:dyDescent="0.2">
      <c r="A111">
        <v>12</v>
      </c>
      <c r="B111">
        <v>5</v>
      </c>
      <c r="C111" cm="1">
        <f t="array" ref="C111">INDEX('rtp before multiplier'!H:H,MATCH(1,('rtp before multiplier'!A:A='total rtp'!A111)*('rtp before multiplier'!B:B='total rtp'!B111),0))</f>
        <v>3.891988071898117E-2</v>
      </c>
      <c r="D111">
        <f t="shared" si="15"/>
        <v>2.1051745189676223E-2</v>
      </c>
      <c r="E111" s="7">
        <f t="shared" si="12"/>
        <v>8.1933141170858418E-4</v>
      </c>
      <c r="F111">
        <v>3</v>
      </c>
      <c r="G111" s="5">
        <v>30</v>
      </c>
      <c r="H111" s="8">
        <f t="shared" si="13"/>
        <v>21.024576000000003</v>
      </c>
      <c r="I111">
        <v>5</v>
      </c>
      <c r="J111" s="6">
        <f t="shared" si="14"/>
        <v>8.6130477673272116E-2</v>
      </c>
    </row>
    <row r="112" spans="1:11" ht="16.5" x14ac:dyDescent="0.2">
      <c r="A112">
        <v>12</v>
      </c>
      <c r="B112">
        <v>5</v>
      </c>
      <c r="C112" cm="1">
        <f t="array" ref="C112">INDEX('rtp before multiplier'!H:H,MATCH(1,('rtp before multiplier'!A:A='total rtp'!A112)*('rtp before multiplier'!B:B='total rtp'!B112),0))</f>
        <v>3.891988071898117E-2</v>
      </c>
      <c r="D112">
        <f t="shared" si="15"/>
        <v>8.7715604956984273E-4</v>
      </c>
      <c r="E112" s="7">
        <f t="shared" si="12"/>
        <v>3.4138808821191017E-5</v>
      </c>
      <c r="F112">
        <v>4</v>
      </c>
      <c r="G112" s="5">
        <v>30</v>
      </c>
      <c r="H112" s="8">
        <f t="shared" si="13"/>
        <v>58.027829760000024</v>
      </c>
      <c r="I112">
        <v>5</v>
      </c>
      <c r="J112" s="6">
        <f t="shared" si="14"/>
        <v>9.9050049324262979E-3</v>
      </c>
    </row>
    <row r="113" spans="1:10" ht="16.5" x14ac:dyDescent="0.2">
      <c r="A113">
        <v>12</v>
      </c>
      <c r="B113">
        <v>5</v>
      </c>
      <c r="C113" cm="1">
        <f t="array" ref="C113">INDEX('rtp before multiplier'!H:H,MATCH(1,('rtp before multiplier'!A:A='total rtp'!A113)*('rtp before multiplier'!B:B='total rtp'!B113),0))</f>
        <v>3.891988071898117E-2</v>
      </c>
      <c r="D113">
        <f t="shared" si="15"/>
        <v>7.0172483965587412E-6</v>
      </c>
      <c r="E113" s="7">
        <f t="shared" si="12"/>
        <v>2.7311047056952807E-7</v>
      </c>
      <c r="F113">
        <v>5</v>
      </c>
      <c r="G113" s="5">
        <v>30</v>
      </c>
      <c r="H113" s="8">
        <f t="shared" si="13"/>
        <v>160.1568101375999</v>
      </c>
      <c r="I113">
        <v>5</v>
      </c>
      <c r="J113" s="6">
        <f t="shared" si="14"/>
        <v>2.1870250890797236E-4</v>
      </c>
    </row>
    <row r="114" spans="1:10" ht="16.5" x14ac:dyDescent="0.2">
      <c r="A114">
        <v>12</v>
      </c>
      <c r="B114">
        <v>6</v>
      </c>
      <c r="C114" cm="1">
        <f t="array" ref="C114">INDEX('rtp before multiplier'!H:H,MATCH(1,('rtp before multiplier'!A:A='total rtp'!A114)*('rtp before multiplier'!B:B='total rtp'!B114),0))</f>
        <v>3.7642717102986962E-3</v>
      </c>
      <c r="D114">
        <f t="shared" si="15"/>
        <v>0.29826112584733272</v>
      </c>
      <c r="E114" s="7">
        <f t="shared" si="12"/>
        <v>1.1227359183089538E-3</v>
      </c>
      <c r="F114">
        <v>0</v>
      </c>
      <c r="G114" s="5">
        <v>30</v>
      </c>
      <c r="H114" s="8">
        <f t="shared" si="13"/>
        <v>1</v>
      </c>
      <c r="I114">
        <v>5</v>
      </c>
      <c r="J114" s="6">
        <f t="shared" si="14"/>
        <v>5.6136795915447688E-3</v>
      </c>
    </row>
    <row r="115" spans="1:10" ht="16.5" x14ac:dyDescent="0.2">
      <c r="A115">
        <v>12</v>
      </c>
      <c r="B115">
        <v>6</v>
      </c>
      <c r="C115" cm="1">
        <f t="array" ref="C115">INDEX('rtp before multiplier'!H:H,MATCH(1,('rtp before multiplier'!A:A='total rtp'!A115)*('rtp before multiplier'!B:B='total rtp'!B115),0))</f>
        <v>3.7642717102986962E-3</v>
      </c>
      <c r="D115">
        <f t="shared" si="15"/>
        <v>0.44739168877099911</v>
      </c>
      <c r="E115" s="7">
        <f t="shared" si="12"/>
        <v>1.6841038774634309E-3</v>
      </c>
      <c r="F115">
        <v>1</v>
      </c>
      <c r="G115" s="5">
        <v>30</v>
      </c>
      <c r="H115" s="8">
        <f t="shared" si="13"/>
        <v>2.76</v>
      </c>
      <c r="I115">
        <v>5</v>
      </c>
      <c r="J115" s="6">
        <f t="shared" si="14"/>
        <v>2.3240633508995346E-2</v>
      </c>
    </row>
    <row r="116" spans="1:10" ht="16.5" x14ac:dyDescent="0.2">
      <c r="A116">
        <v>12</v>
      </c>
      <c r="B116">
        <v>6</v>
      </c>
      <c r="C116" cm="1">
        <f t="array" ref="C116">INDEX('rtp before multiplier'!H:H,MATCH(1,('rtp before multiplier'!A:A='total rtp'!A116)*('rtp before multiplier'!B:B='total rtp'!B116),0))</f>
        <v>3.7642717102986962E-3</v>
      </c>
      <c r="D116">
        <f t="shared" si="15"/>
        <v>0.2130436613195234</v>
      </c>
      <c r="E116" s="7">
        <f t="shared" si="12"/>
        <v>8.019542273635386E-4</v>
      </c>
      <c r="F116">
        <v>2</v>
      </c>
      <c r="G116" s="5">
        <v>30</v>
      </c>
      <c r="H116" s="8">
        <f t="shared" si="13"/>
        <v>7.6176000000000004</v>
      </c>
      <c r="I116">
        <v>5</v>
      </c>
      <c r="J116" s="6">
        <f t="shared" si="14"/>
        <v>3.0544832611822462E-2</v>
      </c>
    </row>
    <row r="117" spans="1:10" ht="16.5" x14ac:dyDescent="0.2">
      <c r="A117">
        <v>12</v>
      </c>
      <c r="B117">
        <v>6</v>
      </c>
      <c r="C117" cm="1">
        <f t="array" ref="C117">INDEX('rtp before multiplier'!H:H,MATCH(1,('rtp before multiplier'!A:A='total rtp'!A117)*('rtp before multiplier'!B:B='total rtp'!B117),0))</f>
        <v>3.7642717102986962E-3</v>
      </c>
      <c r="D117">
        <f t="shared" si="15"/>
        <v>3.8735211149004252E-2</v>
      </c>
      <c r="E117" s="7">
        <f t="shared" si="12"/>
        <v>1.4580985952064335E-4</v>
      </c>
      <c r="F117">
        <v>3</v>
      </c>
      <c r="G117" s="5">
        <v>30</v>
      </c>
      <c r="H117" s="8">
        <f t="shared" si="13"/>
        <v>21.024576000000003</v>
      </c>
      <c r="I117">
        <v>5</v>
      </c>
      <c r="J117" s="6">
        <f t="shared" si="14"/>
        <v>1.5327952365205452E-2</v>
      </c>
    </row>
    <row r="118" spans="1:10" ht="16.5" x14ac:dyDescent="0.2">
      <c r="A118">
        <v>12</v>
      </c>
      <c r="B118">
        <v>6</v>
      </c>
      <c r="C118" cm="1">
        <f t="array" ref="C118">INDEX('rtp before multiplier'!H:H,MATCH(1,('rtp before multiplier'!A:A='total rtp'!A118)*('rtp before multiplier'!B:B='total rtp'!B118),0))</f>
        <v>3.7642717102986962E-3</v>
      </c>
      <c r="D118">
        <f t="shared" si="15"/>
        <v>2.526209422761147E-3</v>
      </c>
      <c r="E118" s="7">
        <f t="shared" si="12"/>
        <v>9.5093386643897853E-6</v>
      </c>
      <c r="F118">
        <v>4</v>
      </c>
      <c r="G118" s="5">
        <v>30</v>
      </c>
      <c r="H118" s="8">
        <f t="shared" si="13"/>
        <v>58.027829760000024</v>
      </c>
      <c r="I118">
        <v>5</v>
      </c>
      <c r="J118" s="6">
        <f t="shared" si="14"/>
        <v>2.759031425736982E-3</v>
      </c>
    </row>
    <row r="119" spans="1:10" ht="16.5" x14ac:dyDescent="0.2">
      <c r="A119">
        <v>12</v>
      </c>
      <c r="B119">
        <v>6</v>
      </c>
      <c r="C119" cm="1">
        <f t="array" ref="C119">INDEX('rtp before multiplier'!H:H,MATCH(1,('rtp before multiplier'!A:A='total rtp'!A119)*('rtp before multiplier'!B:B='total rtp'!B119),0))</f>
        <v>3.7642717102986962E-3</v>
      </c>
      <c r="D119">
        <f t="shared" si="15"/>
        <v>4.2103490379352447E-5</v>
      </c>
      <c r="E119" s="7">
        <f t="shared" si="12"/>
        <v>1.5848897773982974E-7</v>
      </c>
      <c r="F119">
        <v>5</v>
      </c>
      <c r="G119" s="5">
        <v>30</v>
      </c>
      <c r="H119" s="8">
        <f t="shared" si="13"/>
        <v>160.1568101375999</v>
      </c>
      <c r="I119">
        <v>5</v>
      </c>
      <c r="J119" s="6">
        <f t="shared" si="14"/>
        <v>1.2691544558390106E-4</v>
      </c>
    </row>
    <row r="120" spans="1:10" ht="16.5" x14ac:dyDescent="0.2">
      <c r="A120">
        <v>12</v>
      </c>
      <c r="B120">
        <v>7</v>
      </c>
      <c r="C120" cm="1">
        <f t="array" ref="C120">INDEX('rtp before multiplier'!H:H,MATCH(1,('rtp before multiplier'!A:A='total rtp'!A120)*('rtp before multiplier'!B:B='total rtp'!B120),0))</f>
        <v>4.2348056740860347E-3</v>
      </c>
      <c r="D120">
        <f t="shared" si="15"/>
        <v>0.23612339129580515</v>
      </c>
      <c r="E120" s="7">
        <f t="shared" si="12"/>
        <v>9.9993667724391274E-4</v>
      </c>
      <c r="F120">
        <v>0</v>
      </c>
      <c r="G120" s="5">
        <v>30</v>
      </c>
      <c r="H120" s="8">
        <f t="shared" si="13"/>
        <v>1</v>
      </c>
      <c r="I120">
        <v>25</v>
      </c>
      <c r="J120" s="6">
        <f t="shared" si="14"/>
        <v>2.4998416931097819E-2</v>
      </c>
    </row>
    <row r="121" spans="1:10" ht="16.5" x14ac:dyDescent="0.2">
      <c r="A121">
        <v>12</v>
      </c>
      <c r="B121">
        <v>7</v>
      </c>
      <c r="C121" cm="1">
        <f t="array" ref="C121">INDEX('rtp before multiplier'!H:H,MATCH(1,('rtp before multiplier'!A:A='total rtp'!A121)*('rtp before multiplier'!B:B='total rtp'!B121),0))</f>
        <v>4.2348056740860347E-3</v>
      </c>
      <c r="D121">
        <f t="shared" si="15"/>
        <v>0.4349641418606936</v>
      </c>
      <c r="E121" s="7">
        <f t="shared" si="12"/>
        <v>1.8419886159756283E-3</v>
      </c>
      <c r="F121">
        <v>1</v>
      </c>
      <c r="G121" s="5">
        <v>30</v>
      </c>
      <c r="H121" s="8">
        <f t="shared" si="13"/>
        <v>2.76</v>
      </c>
      <c r="I121">
        <v>25</v>
      </c>
      <c r="J121" s="6">
        <f t="shared" si="14"/>
        <v>0.12709721450231834</v>
      </c>
    </row>
    <row r="122" spans="1:10" ht="16.5" x14ac:dyDescent="0.2">
      <c r="A122">
        <v>12</v>
      </c>
      <c r="B122">
        <v>7</v>
      </c>
      <c r="C122" cm="1">
        <f t="array" ref="C122">INDEX('rtp before multiplier'!H:H,MATCH(1,('rtp before multiplier'!A:A='total rtp'!A122)*('rtp before multiplier'!B:B='total rtp'!B122),0))</f>
        <v>4.2348056740860347E-3</v>
      </c>
      <c r="D122">
        <f t="shared" si="15"/>
        <v>0.26097848511641614</v>
      </c>
      <c r="E122" s="7">
        <f t="shared" si="12"/>
        <v>1.1051931695853767E-3</v>
      </c>
      <c r="F122">
        <v>2</v>
      </c>
      <c r="G122" s="5">
        <v>30</v>
      </c>
      <c r="H122" s="8">
        <f t="shared" si="13"/>
        <v>7.6176000000000004</v>
      </c>
      <c r="I122">
        <v>25</v>
      </c>
      <c r="J122" s="6">
        <f t="shared" si="14"/>
        <v>0.21047298721583915</v>
      </c>
    </row>
    <row r="123" spans="1:10" ht="16.5" x14ac:dyDescent="0.2">
      <c r="A123">
        <v>12</v>
      </c>
      <c r="B123">
        <v>7</v>
      </c>
      <c r="C123" cm="1">
        <f t="array" ref="C123">INDEX('rtp before multiplier'!H:H,MATCH(1,('rtp before multiplier'!A:A='total rtp'!A123)*('rtp before multiplier'!B:B='total rtp'!B123),0))</f>
        <v>4.2348056740860347E-3</v>
      </c>
      <c r="D123">
        <f t="shared" si="15"/>
        <v>6.2137734551527657E-2</v>
      </c>
      <c r="E123" s="7">
        <f t="shared" si="12"/>
        <v>2.6314123085366116E-4</v>
      </c>
      <c r="F123">
        <v>3</v>
      </c>
      <c r="G123" s="5">
        <v>30</v>
      </c>
      <c r="H123" s="8">
        <f t="shared" si="13"/>
        <v>21.024576000000003</v>
      </c>
      <c r="I123">
        <v>25</v>
      </c>
      <c r="J123" s="6">
        <f t="shared" si="14"/>
        <v>0.13831082017040863</v>
      </c>
    </row>
    <row r="124" spans="1:10" ht="16.5" x14ac:dyDescent="0.2">
      <c r="A124">
        <v>12</v>
      </c>
      <c r="B124">
        <v>7</v>
      </c>
      <c r="C124" cm="1">
        <f t="array" ref="C124">INDEX('rtp before multiplier'!H:H,MATCH(1,('rtp before multiplier'!A:A='total rtp'!A124)*('rtp before multiplier'!B:B='total rtp'!B124),0))</f>
        <v>4.2348056740860347E-3</v>
      </c>
      <c r="D124">
        <f t="shared" si="15"/>
        <v>5.6488849592297866E-3</v>
      </c>
      <c r="E124" s="7">
        <f t="shared" si="12"/>
        <v>2.3921930077605559E-5</v>
      </c>
      <c r="F124">
        <v>4</v>
      </c>
      <c r="G124" s="5">
        <v>30</v>
      </c>
      <c r="H124" s="8">
        <f t="shared" si="13"/>
        <v>58.027829760000024</v>
      </c>
      <c r="I124">
        <v>25</v>
      </c>
      <c r="J124" s="6">
        <f t="shared" si="14"/>
        <v>3.4703442151847987E-2</v>
      </c>
    </row>
    <row r="125" spans="1:10" ht="16.5" x14ac:dyDescent="0.2">
      <c r="A125">
        <v>12</v>
      </c>
      <c r="B125">
        <v>7</v>
      </c>
      <c r="C125" cm="1">
        <f t="array" ref="C125">INDEX('rtp before multiplier'!H:H,MATCH(1,('rtp before multiplier'!A:A='total rtp'!A125)*('rtp before multiplier'!B:B='total rtp'!B125),0))</f>
        <v>4.2348056740860347E-3</v>
      </c>
      <c r="D125">
        <f t="shared" si="15"/>
        <v>1.4736221632773356E-4</v>
      </c>
      <c r="E125" s="7">
        <f t="shared" si="12"/>
        <v>6.2405034985057977E-7</v>
      </c>
      <c r="F125">
        <v>5</v>
      </c>
      <c r="G125" s="5">
        <v>30</v>
      </c>
      <c r="H125" s="8">
        <f t="shared" si="13"/>
        <v>160.1568101375999</v>
      </c>
      <c r="I125">
        <v>25</v>
      </c>
      <c r="J125" s="6">
        <f t="shared" si="14"/>
        <v>2.4986478349330525E-3</v>
      </c>
    </row>
    <row r="126" spans="1:10" ht="16.5" x14ac:dyDescent="0.2">
      <c r="A126">
        <v>12</v>
      </c>
      <c r="B126">
        <v>8</v>
      </c>
      <c r="C126" cm="1">
        <f t="array" ref="C126">INDEX('rtp before multiplier'!H:H,MATCH(1,('rtp before multiplier'!A:A='total rtp'!A126)*('rtp before multiplier'!B:B='total rtp'!B126),0))</f>
        <v>6.2276554030676954E-4</v>
      </c>
      <c r="D126">
        <f t="shared" si="15"/>
        <v>0.18479221927497791</v>
      </c>
      <c r="E126" s="7">
        <f t="shared" si="12"/>
        <v>1.1508222628126865E-4</v>
      </c>
      <c r="F126">
        <v>0</v>
      </c>
      <c r="G126" s="5">
        <v>30</v>
      </c>
      <c r="H126" s="8">
        <f t="shared" si="13"/>
        <v>1</v>
      </c>
      <c r="I126">
        <v>50</v>
      </c>
      <c r="J126" s="6">
        <f t="shared" si="14"/>
        <v>5.7541113140634325E-3</v>
      </c>
    </row>
    <row r="127" spans="1:10" ht="16.5" x14ac:dyDescent="0.2">
      <c r="A127">
        <v>12</v>
      </c>
      <c r="B127">
        <v>8</v>
      </c>
      <c r="C127" cm="1">
        <f t="array" ref="C127">INDEX('rtp before multiplier'!H:H,MATCH(1,('rtp before multiplier'!A:A='total rtp'!A127)*('rtp before multiplier'!B:B='total rtp'!B127),0))</f>
        <v>6.2276554030676954E-4</v>
      </c>
      <c r="D127">
        <f t="shared" si="15"/>
        <v>0.41064937616661756</v>
      </c>
      <c r="E127" s="7">
        <f t="shared" si="12"/>
        <v>2.5573828062504142E-4</v>
      </c>
      <c r="F127">
        <v>1</v>
      </c>
      <c r="G127" s="5">
        <v>30</v>
      </c>
      <c r="H127" s="8">
        <f t="shared" si="13"/>
        <v>2.76</v>
      </c>
      <c r="I127">
        <v>50</v>
      </c>
      <c r="J127" s="6">
        <f t="shared" si="14"/>
        <v>3.5291882726255712E-2</v>
      </c>
    </row>
    <row r="128" spans="1:10" ht="16.5" x14ac:dyDescent="0.2">
      <c r="A128">
        <v>12</v>
      </c>
      <c r="B128">
        <v>8</v>
      </c>
      <c r="C128" cm="1">
        <f t="array" ref="C128">INDEX('rtp before multiplier'!H:H,MATCH(1,('rtp before multiplier'!A:A='total rtp'!A128)*('rtp before multiplier'!B:B='total rtp'!B128),0))</f>
        <v>6.2276554030676954E-4</v>
      </c>
      <c r="D128">
        <f t="shared" si="15"/>
        <v>0.30258375085961292</v>
      </c>
      <c r="E128" s="7">
        <f t="shared" si="12"/>
        <v>1.884387330921358E-4</v>
      </c>
      <c r="F128">
        <v>2</v>
      </c>
      <c r="G128" s="5">
        <v>30</v>
      </c>
      <c r="H128" s="8">
        <f t="shared" si="13"/>
        <v>7.6176000000000004</v>
      </c>
      <c r="I128">
        <v>50</v>
      </c>
      <c r="J128" s="6">
        <f t="shared" si="14"/>
        <v>7.1772544660132692E-2</v>
      </c>
    </row>
    <row r="129" spans="1:11" ht="16.5" x14ac:dyDescent="0.2">
      <c r="A129">
        <v>12</v>
      </c>
      <c r="B129">
        <v>8</v>
      </c>
      <c r="C129" cm="1">
        <f t="array" ref="C129">INDEX('rtp before multiplier'!H:H,MATCH(1,('rtp before multiplier'!A:A='total rtp'!A129)*('rtp before multiplier'!B:B='total rtp'!B129),0))</f>
        <v>6.2276554030676954E-4</v>
      </c>
      <c r="D129">
        <f t="shared" si="15"/>
        <v>9.0775125257883879E-2</v>
      </c>
      <c r="E129" s="7">
        <f t="shared" si="12"/>
        <v>5.6531619927640734E-5</v>
      </c>
      <c r="F129">
        <v>3</v>
      </c>
      <c r="G129" s="5">
        <v>30</v>
      </c>
      <c r="H129" s="8">
        <f t="shared" si="13"/>
        <v>21.024576000000003</v>
      </c>
      <c r="I129">
        <v>50</v>
      </c>
      <c r="J129" s="6">
        <f t="shared" si="14"/>
        <v>5.9427666978589866E-2</v>
      </c>
    </row>
    <row r="130" spans="1:11" ht="16.5" x14ac:dyDescent="0.2">
      <c r="A130">
        <v>12</v>
      </c>
      <c r="B130">
        <v>8</v>
      </c>
      <c r="C130" cm="1">
        <f t="array" ref="C130">INDEX('rtp before multiplier'!H:H,MATCH(1,('rtp before multiplier'!A:A='total rtp'!A130)*('rtp before multiplier'!B:B='total rtp'!B130),0))</f>
        <v>6.2276554030676954E-4</v>
      </c>
      <c r="D130">
        <f t="shared" si="15"/>
        <v>1.0806562530700461E-2</v>
      </c>
      <c r="E130" s="7">
        <f t="shared" si="12"/>
        <v>6.7299547532905641E-6</v>
      </c>
      <c r="F130">
        <v>4</v>
      </c>
      <c r="G130" s="5">
        <v>30</v>
      </c>
      <c r="H130" s="8">
        <f t="shared" si="13"/>
        <v>58.027829760000024</v>
      </c>
      <c r="I130">
        <v>50</v>
      </c>
      <c r="J130" s="6">
        <f t="shared" si="14"/>
        <v>1.9526233435822393E-2</v>
      </c>
    </row>
    <row r="131" spans="1:11" ht="16.5" x14ac:dyDescent="0.2">
      <c r="A131">
        <v>12</v>
      </c>
      <c r="B131">
        <v>8</v>
      </c>
      <c r="C131" cm="1">
        <f t="array" ref="C131">INDEX('rtp before multiplier'!H:H,MATCH(1,('rtp before multiplier'!A:A='total rtp'!A131)*('rtp before multiplier'!B:B='total rtp'!B131),0))</f>
        <v>6.2276554030676954E-4</v>
      </c>
      <c r="D131">
        <f t="shared" si="15"/>
        <v>3.9296591020728953E-4</v>
      </c>
      <c r="E131" s="7">
        <f t="shared" si="12"/>
        <v>2.4472562739238416E-7</v>
      </c>
      <c r="F131">
        <v>5</v>
      </c>
      <c r="G131" s="5">
        <v>30</v>
      </c>
      <c r="H131" s="8">
        <f t="shared" si="13"/>
        <v>160.1568101375999</v>
      </c>
      <c r="I131">
        <v>50</v>
      </c>
      <c r="J131" s="6">
        <f t="shared" si="14"/>
        <v>1.9597237921043548E-3</v>
      </c>
    </row>
    <row r="132" spans="1:11" ht="16.5" x14ac:dyDescent="0.2">
      <c r="A132">
        <v>12</v>
      </c>
      <c r="B132">
        <v>9</v>
      </c>
      <c r="C132" cm="1">
        <f t="array" ref="C132">INDEX('rtp before multiplier'!H:H,MATCH(1,('rtp before multiplier'!A:A='total rtp'!A132)*('rtp before multiplier'!B:B='total rtp'!B132),0))</f>
        <v>1.5376926921154804E-5</v>
      </c>
      <c r="D132">
        <f t="shared" si="15"/>
        <v>0.14279398762157383</v>
      </c>
      <c r="E132" s="7">
        <f t="shared" si="12"/>
        <v>2.1957327124372245E-6</v>
      </c>
      <c r="F132">
        <v>0</v>
      </c>
      <c r="G132" s="5">
        <v>30</v>
      </c>
      <c r="H132" s="8">
        <f t="shared" si="13"/>
        <v>1</v>
      </c>
      <c r="I132">
        <v>250</v>
      </c>
      <c r="J132" s="6">
        <f t="shared" si="14"/>
        <v>5.489331781093061E-4</v>
      </c>
    </row>
    <row r="133" spans="1:11" ht="16.5" x14ac:dyDescent="0.2">
      <c r="A133">
        <v>12</v>
      </c>
      <c r="B133">
        <v>9</v>
      </c>
      <c r="C133" cm="1">
        <f t="array" ref="C133">INDEX('rtp before multiplier'!H:H,MATCH(1,('rtp before multiplier'!A:A='total rtp'!A133)*('rtp before multiplier'!B:B='total rtp'!B133),0))</f>
        <v>1.5376926921154804E-5</v>
      </c>
      <c r="D133">
        <f t="shared" si="15"/>
        <v>0.37798408488063662</v>
      </c>
      <c r="E133" s="7">
        <f t="shared" si="12"/>
        <v>5.8122336505691239E-6</v>
      </c>
      <c r="F133">
        <v>1</v>
      </c>
      <c r="G133" s="5">
        <v>30</v>
      </c>
      <c r="H133" s="8">
        <f t="shared" si="13"/>
        <v>2.76</v>
      </c>
      <c r="I133">
        <v>250</v>
      </c>
      <c r="J133" s="6">
        <f t="shared" si="14"/>
        <v>4.0104412188926948E-3</v>
      </c>
    </row>
    <row r="134" spans="1:11" ht="16.5" x14ac:dyDescent="0.2">
      <c r="A134">
        <v>12</v>
      </c>
      <c r="B134">
        <v>9</v>
      </c>
      <c r="C134" cm="1">
        <f t="array" ref="C134">INDEX('rtp before multiplier'!H:H,MATCH(1,('rtp before multiplier'!A:A='total rtp'!A134)*('rtp before multiplier'!B:B='total rtp'!B134),0))</f>
        <v>1.5376926921154804E-5</v>
      </c>
      <c r="D134">
        <f t="shared" si="15"/>
        <v>0.33598585322723251</v>
      </c>
      <c r="E134" s="7">
        <f t="shared" si="12"/>
        <v>5.1664299116169982E-6</v>
      </c>
      <c r="F134">
        <v>2</v>
      </c>
      <c r="G134" s="5">
        <v>30</v>
      </c>
      <c r="H134" s="8">
        <f t="shared" si="13"/>
        <v>7.6176000000000004</v>
      </c>
      <c r="I134">
        <v>250</v>
      </c>
      <c r="J134" s="6">
        <f t="shared" si="14"/>
        <v>9.8389491236834103E-3</v>
      </c>
    </row>
    <row r="135" spans="1:11" ht="16.5" x14ac:dyDescent="0.2">
      <c r="A135">
        <v>12</v>
      </c>
      <c r="B135">
        <v>9</v>
      </c>
      <c r="C135" cm="1">
        <f t="array" ref="C135">INDEX('rtp before multiplier'!H:H,MATCH(1,('rtp before multiplier'!A:A='total rtp'!A135)*('rtp before multiplier'!B:B='total rtp'!B135),0))</f>
        <v>1.5376926921154804E-5</v>
      </c>
      <c r="D135">
        <f t="shared" si="15"/>
        <v>0.12378426171529618</v>
      </c>
      <c r="E135" s="7">
        <f t="shared" si="12"/>
        <v>1.9034215463852097E-6</v>
      </c>
      <c r="F135">
        <v>3</v>
      </c>
      <c r="G135" s="5">
        <v>30</v>
      </c>
      <c r="H135" s="8">
        <f t="shared" si="13"/>
        <v>21.024576000000003</v>
      </c>
      <c r="I135">
        <v>250</v>
      </c>
      <c r="J135" s="6">
        <f t="shared" si="14"/>
        <v>1.0004657740503343E-2</v>
      </c>
    </row>
    <row r="136" spans="1:11" ht="16.5" x14ac:dyDescent="0.2">
      <c r="A136">
        <v>12</v>
      </c>
      <c r="B136">
        <v>9</v>
      </c>
      <c r="C136" cm="1">
        <f t="array" ref="C136">INDEX('rtp before multiplier'!H:H,MATCH(1,('rtp before multiplier'!A:A='total rtp'!A136)*('rtp before multiplier'!B:B='total rtp'!B136),0))</f>
        <v>1.5376926921154804E-5</v>
      </c>
      <c r="D136">
        <f t="shared" si="15"/>
        <v>1.8567639257294429E-2</v>
      </c>
      <c r="E136" s="7">
        <f t="shared" si="12"/>
        <v>2.8551323195778149E-7</v>
      </c>
      <c r="F136">
        <v>4</v>
      </c>
      <c r="G136" s="5">
        <v>30</v>
      </c>
      <c r="H136" s="8">
        <f t="shared" si="13"/>
        <v>58.027829760000024</v>
      </c>
      <c r="I136">
        <v>250</v>
      </c>
      <c r="J136" s="6">
        <f t="shared" si="14"/>
        <v>4.1419283045683857E-3</v>
      </c>
    </row>
    <row r="137" spans="1:11" ht="16.5" x14ac:dyDescent="0.2">
      <c r="A137">
        <v>12</v>
      </c>
      <c r="B137">
        <v>9</v>
      </c>
      <c r="C137" cm="1">
        <f t="array" ref="C137">INDEX('rtp before multiplier'!H:H,MATCH(1,('rtp before multiplier'!A:A='total rtp'!A137)*('rtp before multiplier'!B:B='total rtp'!B137),0))</f>
        <v>1.5376926921154804E-5</v>
      </c>
      <c r="D137">
        <f t="shared" si="15"/>
        <v>8.8417329796640137E-4</v>
      </c>
      <c r="E137" s="7">
        <f t="shared" si="12"/>
        <v>1.3595868188465786E-8</v>
      </c>
      <c r="F137">
        <v>5</v>
      </c>
      <c r="G137" s="5">
        <v>30</v>
      </c>
      <c r="H137" s="8">
        <f t="shared" si="13"/>
        <v>160.1568101375999</v>
      </c>
      <c r="I137">
        <v>250</v>
      </c>
      <c r="J137" s="6">
        <f t="shared" si="14"/>
        <v>5.4436772002898731E-4</v>
      </c>
    </row>
    <row r="138" spans="1:11" ht="16.5" x14ac:dyDescent="0.2">
      <c r="A138">
        <v>13</v>
      </c>
      <c r="B138">
        <v>3</v>
      </c>
      <c r="C138" cm="1">
        <f t="array" ref="C138">INDEX('rtp before multiplier'!H:H,MATCH(1,('rtp before multiplier'!A:A='total rtp'!A138)*('rtp before multiplier'!B:B='total rtp'!B138),0))</f>
        <v>0.26331976868708501</v>
      </c>
      <c r="D138">
        <f>COMBIN(G138-B138,5-F138)*COMBIN(B138,F138)/$M$1</f>
        <v>0.56650246305418717</v>
      </c>
      <c r="E138" s="7">
        <f>C138*D138</f>
        <v>0.14917129753209249</v>
      </c>
      <c r="F138" s="5">
        <v>0</v>
      </c>
      <c r="G138" s="5">
        <v>30</v>
      </c>
      <c r="H138" s="8">
        <f>VLOOKUP(F138,$O$3:$P$8,2,FALSE)</f>
        <v>1</v>
      </c>
      <c r="I138">
        <v>2</v>
      </c>
      <c r="J138" s="6">
        <f>C138*D138*H138*I138</f>
        <v>0.29834259506418498</v>
      </c>
      <c r="K138" s="6">
        <f>SUM(J138:J171)</f>
        <v>3.8063744569236975</v>
      </c>
    </row>
    <row r="139" spans="1:11" ht="16.5" x14ac:dyDescent="0.2">
      <c r="A139">
        <v>13</v>
      </c>
      <c r="B139">
        <v>3</v>
      </c>
      <c r="C139" cm="1">
        <f t="array" ref="C139">INDEX('rtp before multiplier'!H:H,MATCH(1,('rtp before multiplier'!A:A='total rtp'!A139)*('rtp before multiplier'!B:B='total rtp'!B139),0))</f>
        <v>0.26331976868708501</v>
      </c>
      <c r="D139">
        <f>COMBIN(G139-B139,5-F139)*COMBIN(B139,F139)/$M$1</f>
        <v>0.36945812807881773</v>
      </c>
      <c r="E139" s="7">
        <f t="shared" ref="E139:E171" si="16">C139*D139</f>
        <v>9.7285628825277706E-2</v>
      </c>
      <c r="F139">
        <v>1</v>
      </c>
      <c r="G139" s="5">
        <v>30</v>
      </c>
      <c r="H139" s="8">
        <f t="shared" ref="H139:H171" si="17">VLOOKUP(F139,$O$3:$P$8,2,FALSE)</f>
        <v>2.76</v>
      </c>
      <c r="I139">
        <v>2</v>
      </c>
      <c r="J139" s="6">
        <f t="shared" ref="J139:J171" si="18">C139*D139*H139*I139</f>
        <v>0.53701667111553286</v>
      </c>
    </row>
    <row r="140" spans="1:11" ht="16.5" x14ac:dyDescent="0.2">
      <c r="A140">
        <v>13</v>
      </c>
      <c r="B140">
        <v>3</v>
      </c>
      <c r="C140" cm="1">
        <f t="array" ref="C140">INDEX('rtp before multiplier'!H:H,MATCH(1,('rtp before multiplier'!A:A='total rtp'!A140)*('rtp before multiplier'!B:B='total rtp'!B140),0))</f>
        <v>0.26331976868708501</v>
      </c>
      <c r="D140">
        <f t="shared" ref="D140:D171" si="19">COMBIN(G140-B140,5-F140)*COMBIN(B140,F140)/$M$1</f>
        <v>6.1576354679802957E-2</v>
      </c>
      <c r="E140" s="7">
        <f t="shared" si="16"/>
        <v>1.6214271470879619E-2</v>
      </c>
      <c r="F140">
        <v>2</v>
      </c>
      <c r="G140" s="5">
        <v>30</v>
      </c>
      <c r="H140" s="8">
        <f t="shared" si="17"/>
        <v>7.6176000000000004</v>
      </c>
      <c r="I140">
        <v>2</v>
      </c>
      <c r="J140" s="6">
        <f t="shared" si="18"/>
        <v>0.24702766871314519</v>
      </c>
    </row>
    <row r="141" spans="1:11" ht="16.5" x14ac:dyDescent="0.2">
      <c r="A141">
        <v>13</v>
      </c>
      <c r="B141">
        <v>3</v>
      </c>
      <c r="C141" cm="1">
        <f t="array" ref="C141">INDEX('rtp before multiplier'!H:H,MATCH(1,('rtp before multiplier'!A:A='total rtp'!A141)*('rtp before multiplier'!B:B='total rtp'!B141),0))</f>
        <v>0.26331976868708501</v>
      </c>
      <c r="D141">
        <f t="shared" si="19"/>
        <v>2.4630541871921183E-3</v>
      </c>
      <c r="E141" s="7">
        <f t="shared" si="16"/>
        <v>6.4857085883518472E-4</v>
      </c>
      <c r="F141">
        <v>3</v>
      </c>
      <c r="G141" s="5">
        <v>30</v>
      </c>
      <c r="H141" s="8">
        <f t="shared" si="17"/>
        <v>21.024576000000003</v>
      </c>
      <c r="I141">
        <v>2</v>
      </c>
      <c r="J141" s="6">
        <f t="shared" si="18"/>
        <v>2.7271854625931229E-2</v>
      </c>
    </row>
    <row r="142" spans="1:11" ht="16.5" x14ac:dyDescent="0.2">
      <c r="A142">
        <v>13</v>
      </c>
      <c r="B142">
        <v>5</v>
      </c>
      <c r="C142" cm="1">
        <f t="array" ref="C142">INDEX('rtp before multiplier'!H:H,MATCH(1,('rtp before multiplier'!A:A='total rtp'!A142)*('rtp before multiplier'!B:B='total rtp'!B142),0))</f>
        <v>5.8402227457699719E-2</v>
      </c>
      <c r="D142">
        <f t="shared" si="19"/>
        <v>0.37282640730916589</v>
      </c>
      <c r="E142" s="7">
        <f t="shared" si="16"/>
        <v>2.1773892641906906E-2</v>
      </c>
      <c r="F142">
        <v>0</v>
      </c>
      <c r="G142" s="5">
        <v>30</v>
      </c>
      <c r="H142" s="8">
        <f t="shared" si="17"/>
        <v>1</v>
      </c>
      <c r="I142">
        <v>5</v>
      </c>
      <c r="J142" s="6">
        <f t="shared" si="18"/>
        <v>0.10886946320953453</v>
      </c>
    </row>
    <row r="143" spans="1:11" ht="16.5" x14ac:dyDescent="0.2">
      <c r="A143">
        <v>13</v>
      </c>
      <c r="B143">
        <v>5</v>
      </c>
      <c r="C143" cm="1">
        <f t="array" ref="C143">INDEX('rtp before multiplier'!H:H,MATCH(1,('rtp before multiplier'!A:A='total rtp'!A143)*('rtp before multiplier'!B:B='total rtp'!B143),0))</f>
        <v>5.8402227457699719E-2</v>
      </c>
      <c r="D143">
        <f t="shared" si="19"/>
        <v>0.44384096108234045</v>
      </c>
      <c r="E143" s="7">
        <f t="shared" si="16"/>
        <v>2.5921300764174895E-2</v>
      </c>
      <c r="F143">
        <v>1</v>
      </c>
      <c r="G143" s="5">
        <v>30</v>
      </c>
      <c r="H143" s="8">
        <f t="shared" si="17"/>
        <v>2.76</v>
      </c>
      <c r="I143">
        <v>5</v>
      </c>
      <c r="J143" s="6">
        <f t="shared" si="18"/>
        <v>0.3577139505456135</v>
      </c>
    </row>
    <row r="144" spans="1:11" ht="16.5" x14ac:dyDescent="0.2">
      <c r="A144">
        <v>13</v>
      </c>
      <c r="B144">
        <v>5</v>
      </c>
      <c r="C144" cm="1">
        <f t="array" ref="C144">INDEX('rtp before multiplier'!H:H,MATCH(1,('rtp before multiplier'!A:A='total rtp'!A144)*('rtp before multiplier'!B:B='total rtp'!B144),0))</f>
        <v>5.8402227457699719E-2</v>
      </c>
      <c r="D144">
        <f t="shared" si="19"/>
        <v>0.16139671312085105</v>
      </c>
      <c r="E144" s="7">
        <f t="shared" si="16"/>
        <v>9.425927550609052E-3</v>
      </c>
      <c r="F144">
        <v>2</v>
      </c>
      <c r="G144" s="5">
        <v>30</v>
      </c>
      <c r="H144" s="8">
        <f t="shared" si="17"/>
        <v>7.6176000000000004</v>
      </c>
      <c r="I144">
        <v>5</v>
      </c>
      <c r="J144" s="6">
        <f t="shared" si="18"/>
        <v>0.35901472854759758</v>
      </c>
    </row>
    <row r="145" spans="1:10" ht="16.5" x14ac:dyDescent="0.2">
      <c r="A145">
        <v>13</v>
      </c>
      <c r="B145">
        <v>5</v>
      </c>
      <c r="C145" cm="1">
        <f t="array" ref="C145">INDEX('rtp before multiplier'!H:H,MATCH(1,('rtp before multiplier'!A:A='total rtp'!A145)*('rtp before multiplier'!B:B='total rtp'!B145),0))</f>
        <v>5.8402227457699719E-2</v>
      </c>
      <c r="D145">
        <f t="shared" si="19"/>
        <v>2.1051745189676223E-2</v>
      </c>
      <c r="E145" s="7">
        <f t="shared" si="16"/>
        <v>1.2294688109490068E-3</v>
      </c>
      <c r="F145">
        <v>3</v>
      </c>
      <c r="G145" s="5">
        <v>30</v>
      </c>
      <c r="H145" s="8">
        <f t="shared" si="17"/>
        <v>21.024576000000003</v>
      </c>
      <c r="I145">
        <v>5</v>
      </c>
      <c r="J145" s="6">
        <f t="shared" si="18"/>
        <v>0.12924530227713515</v>
      </c>
    </row>
    <row r="146" spans="1:10" ht="16.5" x14ac:dyDescent="0.2">
      <c r="A146">
        <v>13</v>
      </c>
      <c r="B146">
        <v>5</v>
      </c>
      <c r="C146" cm="1">
        <f t="array" ref="C146">INDEX('rtp before multiplier'!H:H,MATCH(1,('rtp before multiplier'!A:A='total rtp'!A146)*('rtp before multiplier'!B:B='total rtp'!B146),0))</f>
        <v>5.8402227457699719E-2</v>
      </c>
      <c r="D146">
        <f t="shared" si="19"/>
        <v>8.7715604956984273E-4</v>
      </c>
      <c r="E146" s="7">
        <f t="shared" si="16"/>
        <v>5.1227867122875283E-5</v>
      </c>
      <c r="F146">
        <v>4</v>
      </c>
      <c r="G146" s="5">
        <v>30</v>
      </c>
      <c r="H146" s="8">
        <f t="shared" si="17"/>
        <v>58.027829760000024</v>
      </c>
      <c r="I146">
        <v>5</v>
      </c>
      <c r="J146" s="6">
        <f t="shared" si="18"/>
        <v>1.4863209761870545E-2</v>
      </c>
    </row>
    <row r="147" spans="1:10" ht="16.5" x14ac:dyDescent="0.2">
      <c r="A147">
        <v>13</v>
      </c>
      <c r="B147">
        <v>5</v>
      </c>
      <c r="C147" cm="1">
        <f t="array" ref="C147">INDEX('rtp before multiplier'!H:H,MATCH(1,('rtp before multiplier'!A:A='total rtp'!A147)*('rtp before multiplier'!B:B='total rtp'!B147),0))</f>
        <v>5.8402227457699719E-2</v>
      </c>
      <c r="D147">
        <f t="shared" si="19"/>
        <v>7.0172483965587412E-6</v>
      </c>
      <c r="E147" s="7">
        <f t="shared" si="16"/>
        <v>4.0982293698300223E-7</v>
      </c>
      <c r="F147">
        <v>5</v>
      </c>
      <c r="G147" s="5">
        <v>30</v>
      </c>
      <c r="H147" s="8">
        <f t="shared" si="17"/>
        <v>160.1568101375999</v>
      </c>
      <c r="I147">
        <v>5</v>
      </c>
      <c r="J147" s="6">
        <f t="shared" si="18"/>
        <v>3.2817967154210128E-4</v>
      </c>
    </row>
    <row r="148" spans="1:10" ht="16.5" x14ac:dyDescent="0.2">
      <c r="A148">
        <v>13</v>
      </c>
      <c r="B148">
        <v>6</v>
      </c>
      <c r="C148" cm="1">
        <f t="array" ref="C148">INDEX('rtp before multiplier'!H:H,MATCH(1,('rtp before multiplier'!A:A='total rtp'!A148)*('rtp before multiplier'!B:B='total rtp'!B148),0))</f>
        <v>5.8256585992717928E-3</v>
      </c>
      <c r="D148">
        <f t="shared" si="19"/>
        <v>0.29826112584733272</v>
      </c>
      <c r="E148" s="7">
        <f t="shared" si="16"/>
        <v>1.7375674926210002E-3</v>
      </c>
      <c r="F148">
        <v>0</v>
      </c>
      <c r="G148" s="5">
        <v>30</v>
      </c>
      <c r="H148" s="8">
        <f t="shared" si="17"/>
        <v>1</v>
      </c>
      <c r="I148">
        <v>5</v>
      </c>
      <c r="J148" s="6">
        <f t="shared" si="18"/>
        <v>8.6878374631050009E-3</v>
      </c>
    </row>
    <row r="149" spans="1:10" ht="16.5" x14ac:dyDescent="0.2">
      <c r="A149">
        <v>13</v>
      </c>
      <c r="B149">
        <v>6</v>
      </c>
      <c r="C149" cm="1">
        <f t="array" ref="C149">INDEX('rtp before multiplier'!H:H,MATCH(1,('rtp before multiplier'!A:A='total rtp'!A149)*('rtp before multiplier'!B:B='total rtp'!B149),0))</f>
        <v>5.8256585992717928E-3</v>
      </c>
      <c r="D149">
        <f t="shared" si="19"/>
        <v>0.44739168877099911</v>
      </c>
      <c r="E149" s="7">
        <f t="shared" si="16"/>
        <v>2.6063512389315007E-3</v>
      </c>
      <c r="F149">
        <v>1</v>
      </c>
      <c r="G149" s="5">
        <v>30</v>
      </c>
      <c r="H149" s="8">
        <f t="shared" si="17"/>
        <v>2.76</v>
      </c>
      <c r="I149">
        <v>5</v>
      </c>
      <c r="J149" s="6">
        <f t="shared" si="18"/>
        <v>3.596764709725471E-2</v>
      </c>
    </row>
    <row r="150" spans="1:10" ht="16.5" x14ac:dyDescent="0.2">
      <c r="A150">
        <v>13</v>
      </c>
      <c r="B150">
        <v>6</v>
      </c>
      <c r="C150" cm="1">
        <f t="array" ref="C150">INDEX('rtp before multiplier'!H:H,MATCH(1,('rtp before multiplier'!A:A='total rtp'!A150)*('rtp before multiplier'!B:B='total rtp'!B150),0))</f>
        <v>5.8256585992717928E-3</v>
      </c>
      <c r="D150">
        <f t="shared" si="19"/>
        <v>0.2130436613195234</v>
      </c>
      <c r="E150" s="7">
        <f t="shared" si="16"/>
        <v>1.2411196375864289E-3</v>
      </c>
      <c r="F150">
        <v>2</v>
      </c>
      <c r="G150" s="5">
        <v>30</v>
      </c>
      <c r="H150" s="8">
        <f t="shared" si="17"/>
        <v>7.6176000000000004</v>
      </c>
      <c r="I150">
        <v>5</v>
      </c>
      <c r="J150" s="6">
        <f t="shared" si="18"/>
        <v>4.7271764756391908E-2</v>
      </c>
    </row>
    <row r="151" spans="1:10" ht="16.5" x14ac:dyDescent="0.2">
      <c r="A151">
        <v>13</v>
      </c>
      <c r="B151">
        <v>6</v>
      </c>
      <c r="C151" cm="1">
        <f t="array" ref="C151">INDEX('rtp before multiplier'!H:H,MATCH(1,('rtp before multiplier'!A:A='total rtp'!A151)*('rtp before multiplier'!B:B='total rtp'!B151),0))</f>
        <v>5.8256585992717928E-3</v>
      </c>
      <c r="D151">
        <f t="shared" si="19"/>
        <v>3.8735211149004252E-2</v>
      </c>
      <c r="E151" s="7">
        <f t="shared" si="16"/>
        <v>2.2565811592480524E-4</v>
      </c>
      <c r="F151">
        <v>3</v>
      </c>
      <c r="G151" s="5">
        <v>30</v>
      </c>
      <c r="H151" s="8">
        <f t="shared" si="17"/>
        <v>21.024576000000003</v>
      </c>
      <c r="I151">
        <v>5</v>
      </c>
      <c r="J151" s="6">
        <f t="shared" si="18"/>
        <v>2.3721831041389391E-2</v>
      </c>
    </row>
    <row r="152" spans="1:10" ht="16.5" x14ac:dyDescent="0.2">
      <c r="A152">
        <v>13</v>
      </c>
      <c r="B152">
        <v>6</v>
      </c>
      <c r="C152" cm="1">
        <f t="array" ref="C152">INDEX('rtp before multiplier'!H:H,MATCH(1,('rtp before multiplier'!A:A='total rtp'!A152)*('rtp before multiplier'!B:B='total rtp'!B152),0))</f>
        <v>5.8256585992717928E-3</v>
      </c>
      <c r="D152">
        <f t="shared" si="19"/>
        <v>2.526209422761147E-3</v>
      </c>
      <c r="E152" s="7">
        <f t="shared" si="16"/>
        <v>1.4716833647269908E-5</v>
      </c>
      <c r="F152">
        <v>4</v>
      </c>
      <c r="G152" s="5">
        <v>30</v>
      </c>
      <c r="H152" s="8">
        <f t="shared" si="17"/>
        <v>58.027829760000024</v>
      </c>
      <c r="I152">
        <v>5</v>
      </c>
      <c r="J152" s="6">
        <f t="shared" si="18"/>
        <v>4.2699295874500925E-3</v>
      </c>
    </row>
    <row r="153" spans="1:10" ht="16.5" x14ac:dyDescent="0.2">
      <c r="A153">
        <v>13</v>
      </c>
      <c r="B153">
        <v>6</v>
      </c>
      <c r="C153" cm="1">
        <f t="array" ref="C153">INDEX('rtp before multiplier'!H:H,MATCH(1,('rtp before multiplier'!A:A='total rtp'!A153)*('rtp before multiplier'!B:B='total rtp'!B153),0))</f>
        <v>5.8256585992717928E-3</v>
      </c>
      <c r="D153">
        <f t="shared" si="19"/>
        <v>4.2103490379352447E-5</v>
      </c>
      <c r="E153" s="7">
        <f t="shared" si="16"/>
        <v>2.4528056078783181E-7</v>
      </c>
      <c r="F153">
        <v>5</v>
      </c>
      <c r="G153" s="5">
        <v>30</v>
      </c>
      <c r="H153" s="8">
        <f t="shared" si="17"/>
        <v>160.1568101375999</v>
      </c>
      <c r="I153">
        <v>5</v>
      </c>
      <c r="J153" s="6">
        <f t="shared" si="18"/>
        <v>1.9641676102270404E-4</v>
      </c>
    </row>
    <row r="154" spans="1:10" ht="16.5" x14ac:dyDescent="0.2">
      <c r="A154">
        <v>13</v>
      </c>
      <c r="B154">
        <v>7</v>
      </c>
      <c r="C154" cm="1">
        <f t="array" ref="C154">INDEX('rtp before multiplier'!H:H,MATCH(1,('rtp before multiplier'!A:A='total rtp'!A154)*('rtp before multiplier'!B:B='total rtp'!B154),0))</f>
        <v>8.1559220389805093E-3</v>
      </c>
      <c r="D154">
        <f t="shared" si="19"/>
        <v>0.23612339129580515</v>
      </c>
      <c r="E154" s="7">
        <f t="shared" si="16"/>
        <v>1.9258039709882757E-3</v>
      </c>
      <c r="F154">
        <v>0</v>
      </c>
      <c r="G154" s="5">
        <v>30</v>
      </c>
      <c r="H154" s="8">
        <f t="shared" si="17"/>
        <v>1</v>
      </c>
      <c r="I154">
        <v>25</v>
      </c>
      <c r="J154" s="6">
        <f t="shared" si="18"/>
        <v>4.8145099274706893E-2</v>
      </c>
    </row>
    <row r="155" spans="1:10" ht="16.5" x14ac:dyDescent="0.2">
      <c r="A155">
        <v>13</v>
      </c>
      <c r="B155">
        <v>7</v>
      </c>
      <c r="C155" cm="1">
        <f t="array" ref="C155">INDEX('rtp before multiplier'!H:H,MATCH(1,('rtp before multiplier'!A:A='total rtp'!A155)*('rtp before multiplier'!B:B='total rtp'!B155),0))</f>
        <v>8.1559220389805093E-3</v>
      </c>
      <c r="D155">
        <f t="shared" si="19"/>
        <v>0.4349641418606936</v>
      </c>
      <c r="E155" s="7">
        <f t="shared" si="16"/>
        <v>3.5475336307678757E-3</v>
      </c>
      <c r="F155">
        <v>1</v>
      </c>
      <c r="G155" s="5">
        <v>30</v>
      </c>
      <c r="H155" s="8">
        <f t="shared" si="17"/>
        <v>2.76</v>
      </c>
      <c r="I155">
        <v>25</v>
      </c>
      <c r="J155" s="6">
        <f t="shared" si="18"/>
        <v>0.24477982052298342</v>
      </c>
    </row>
    <row r="156" spans="1:10" ht="16.5" x14ac:dyDescent="0.2">
      <c r="A156">
        <v>13</v>
      </c>
      <c r="B156">
        <v>7</v>
      </c>
      <c r="C156" cm="1">
        <f t="array" ref="C156">INDEX('rtp before multiplier'!H:H,MATCH(1,('rtp before multiplier'!A:A='total rtp'!A156)*('rtp before multiplier'!B:B='total rtp'!B156),0))</f>
        <v>8.1559220389805093E-3</v>
      </c>
      <c r="D156">
        <f t="shared" si="19"/>
        <v>0.26097848511641614</v>
      </c>
      <c r="E156" s="7">
        <f t="shared" si="16"/>
        <v>2.128520178460725E-3</v>
      </c>
      <c r="F156">
        <v>2</v>
      </c>
      <c r="G156" s="5">
        <v>30</v>
      </c>
      <c r="H156" s="8">
        <f t="shared" si="17"/>
        <v>7.6176000000000004</v>
      </c>
      <c r="I156">
        <v>25</v>
      </c>
      <c r="J156" s="6">
        <f t="shared" si="18"/>
        <v>0.40535538278606054</v>
      </c>
    </row>
    <row r="157" spans="1:10" ht="16.5" x14ac:dyDescent="0.2">
      <c r="A157">
        <v>13</v>
      </c>
      <c r="B157">
        <v>7</v>
      </c>
      <c r="C157" cm="1">
        <f t="array" ref="C157">INDEX('rtp before multiplier'!H:H,MATCH(1,('rtp before multiplier'!A:A='total rtp'!A157)*('rtp before multiplier'!B:B='total rtp'!B157),0))</f>
        <v>8.1559220389805093E-3</v>
      </c>
      <c r="D157">
        <f t="shared" si="19"/>
        <v>6.2137734551527657E-2</v>
      </c>
      <c r="E157" s="7">
        <f t="shared" si="16"/>
        <v>5.0679051868112509E-4</v>
      </c>
      <c r="F157">
        <v>3</v>
      </c>
      <c r="G157" s="5">
        <v>30</v>
      </c>
      <c r="H157" s="8">
        <f t="shared" si="17"/>
        <v>21.024576000000003</v>
      </c>
      <c r="I157">
        <v>25</v>
      </c>
      <c r="J157" s="6">
        <f t="shared" si="18"/>
        <v>0.2663763944022684</v>
      </c>
    </row>
    <row r="158" spans="1:10" ht="16.5" x14ac:dyDescent="0.2">
      <c r="A158">
        <v>13</v>
      </c>
      <c r="B158">
        <v>7</v>
      </c>
      <c r="C158" cm="1">
        <f t="array" ref="C158">INDEX('rtp before multiplier'!H:H,MATCH(1,('rtp before multiplier'!A:A='total rtp'!A158)*('rtp before multiplier'!B:B='total rtp'!B158),0))</f>
        <v>8.1559220389805093E-3</v>
      </c>
      <c r="D158">
        <f t="shared" si="19"/>
        <v>5.6488849592297866E-3</v>
      </c>
      <c r="E158" s="7">
        <f t="shared" si="16"/>
        <v>4.6071865334647735E-5</v>
      </c>
      <c r="F158">
        <v>4</v>
      </c>
      <c r="G158" s="5">
        <v>30</v>
      </c>
      <c r="H158" s="8">
        <f t="shared" si="17"/>
        <v>58.027829760000024</v>
      </c>
      <c r="I158">
        <v>25</v>
      </c>
      <c r="J158" s="6">
        <f t="shared" si="18"/>
        <v>6.6836258959114631E-2</v>
      </c>
    </row>
    <row r="159" spans="1:10" ht="16.5" x14ac:dyDescent="0.2">
      <c r="A159">
        <v>13</v>
      </c>
      <c r="B159">
        <v>7</v>
      </c>
      <c r="C159" cm="1">
        <f t="array" ref="C159">INDEX('rtp before multiplier'!H:H,MATCH(1,('rtp before multiplier'!A:A='total rtp'!A159)*('rtp before multiplier'!B:B='total rtp'!B159),0))</f>
        <v>8.1559220389805093E-3</v>
      </c>
      <c r="D159">
        <f t="shared" si="19"/>
        <v>1.4736221632773356E-4</v>
      </c>
      <c r="E159" s="7">
        <f t="shared" si="16"/>
        <v>1.2018747478603757E-6</v>
      </c>
      <c r="F159">
        <v>5</v>
      </c>
      <c r="G159" s="5">
        <v>30</v>
      </c>
      <c r="H159" s="8">
        <f t="shared" si="17"/>
        <v>160.1568101375999</v>
      </c>
      <c r="I159">
        <v>25</v>
      </c>
      <c r="J159" s="6">
        <f t="shared" si="18"/>
        <v>4.8122106450562488E-3</v>
      </c>
    </row>
    <row r="160" spans="1:10" ht="16.5" x14ac:dyDescent="0.2">
      <c r="A160">
        <v>13</v>
      </c>
      <c r="B160">
        <v>8</v>
      </c>
      <c r="C160" cm="1">
        <f t="array" ref="C160">INDEX('rtp before multiplier'!H:H,MATCH(1,('rtp before multiplier'!A:A='total rtp'!A160)*('rtp before multiplier'!B:B='total rtp'!B160),0))</f>
        <v>1.5292353823088455E-3</v>
      </c>
      <c r="D160">
        <f t="shared" si="19"/>
        <v>0.18479221927497791</v>
      </c>
      <c r="E160" s="7">
        <f t="shared" si="16"/>
        <v>2.8259080009067084E-4</v>
      </c>
      <c r="F160">
        <v>0</v>
      </c>
      <c r="G160" s="5">
        <v>30</v>
      </c>
      <c r="H160" s="8">
        <f t="shared" si="17"/>
        <v>1</v>
      </c>
      <c r="I160">
        <v>50</v>
      </c>
      <c r="J160" s="6">
        <f t="shared" si="18"/>
        <v>1.4129540004533541E-2</v>
      </c>
    </row>
    <row r="161" spans="1:10" ht="16.5" x14ac:dyDescent="0.2">
      <c r="A161">
        <v>13</v>
      </c>
      <c r="B161">
        <v>8</v>
      </c>
      <c r="C161" cm="1">
        <f t="array" ref="C161">INDEX('rtp before multiplier'!H:H,MATCH(1,('rtp before multiplier'!A:A='total rtp'!A161)*('rtp before multiplier'!B:B='total rtp'!B161),0))</f>
        <v>1.5292353823088455E-3</v>
      </c>
      <c r="D161">
        <f t="shared" si="19"/>
        <v>0.41064937616661756</v>
      </c>
      <c r="E161" s="7">
        <f t="shared" si="16"/>
        <v>6.2797955575704626E-4</v>
      </c>
      <c r="F161">
        <v>1</v>
      </c>
      <c r="G161" s="5">
        <v>30</v>
      </c>
      <c r="H161" s="8">
        <f t="shared" si="17"/>
        <v>2.76</v>
      </c>
      <c r="I161">
        <v>50</v>
      </c>
      <c r="J161" s="6">
        <f t="shared" si="18"/>
        <v>8.6661178694472374E-2</v>
      </c>
    </row>
    <row r="162" spans="1:10" ht="16.5" x14ac:dyDescent="0.2">
      <c r="A162">
        <v>13</v>
      </c>
      <c r="B162">
        <v>8</v>
      </c>
      <c r="C162" cm="1">
        <f t="array" ref="C162">INDEX('rtp before multiplier'!H:H,MATCH(1,('rtp before multiplier'!A:A='total rtp'!A162)*('rtp before multiplier'!B:B='total rtp'!B162),0))</f>
        <v>1.5292353823088455E-3</v>
      </c>
      <c r="D162">
        <f t="shared" si="19"/>
        <v>0.30258375085961292</v>
      </c>
      <c r="E162" s="7">
        <f t="shared" si="16"/>
        <v>4.6272177792624461E-4</v>
      </c>
      <c r="F162">
        <v>2</v>
      </c>
      <c r="G162" s="5">
        <v>30</v>
      </c>
      <c r="H162" s="8">
        <f t="shared" si="17"/>
        <v>7.6176000000000004</v>
      </c>
      <c r="I162">
        <v>50</v>
      </c>
      <c r="J162" s="6">
        <f t="shared" si="18"/>
        <v>0.17624147077654806</v>
      </c>
    </row>
    <row r="163" spans="1:10" ht="16.5" x14ac:dyDescent="0.2">
      <c r="A163">
        <v>13</v>
      </c>
      <c r="B163">
        <v>8</v>
      </c>
      <c r="C163" cm="1">
        <f t="array" ref="C163">INDEX('rtp before multiplier'!H:H,MATCH(1,('rtp before multiplier'!A:A='total rtp'!A163)*('rtp before multiplier'!B:B='total rtp'!B163),0))</f>
        <v>1.5292353823088455E-3</v>
      </c>
      <c r="D163">
        <f t="shared" si="19"/>
        <v>9.0775125257883879E-2</v>
      </c>
      <c r="E163" s="7">
        <f t="shared" si="16"/>
        <v>1.3881653337787338E-4</v>
      </c>
      <c r="F163">
        <v>3</v>
      </c>
      <c r="G163" s="5">
        <v>30</v>
      </c>
      <c r="H163" s="8">
        <f t="shared" si="17"/>
        <v>21.024576000000003</v>
      </c>
      <c r="I163">
        <v>50</v>
      </c>
      <c r="J163" s="6">
        <f t="shared" si="18"/>
        <v>0.1459279378029818</v>
      </c>
    </row>
    <row r="164" spans="1:10" ht="16.5" x14ac:dyDescent="0.2">
      <c r="A164">
        <v>13</v>
      </c>
      <c r="B164">
        <v>8</v>
      </c>
      <c r="C164" cm="1">
        <f t="array" ref="C164">INDEX('rtp before multiplier'!H:H,MATCH(1,('rtp before multiplier'!A:A='total rtp'!A164)*('rtp before multiplier'!B:B='total rtp'!B164),0))</f>
        <v>1.5292353823088455E-3</v>
      </c>
      <c r="D164">
        <f t="shared" si="19"/>
        <v>1.0806562530700461E-2</v>
      </c>
      <c r="E164" s="7">
        <f t="shared" si="16"/>
        <v>1.6525777783080165E-5</v>
      </c>
      <c r="F164">
        <v>4</v>
      </c>
      <c r="G164" s="5">
        <v>30</v>
      </c>
      <c r="H164" s="8">
        <f t="shared" si="17"/>
        <v>58.027829760000024</v>
      </c>
      <c r="I164">
        <v>50</v>
      </c>
      <c r="J164" s="6">
        <f t="shared" si="18"/>
        <v>4.794775099240832E-2</v>
      </c>
    </row>
    <row r="165" spans="1:10" ht="16.5" x14ac:dyDescent="0.2">
      <c r="A165">
        <v>13</v>
      </c>
      <c r="B165">
        <v>8</v>
      </c>
      <c r="C165" cm="1">
        <f t="array" ref="C165">INDEX('rtp before multiplier'!H:H,MATCH(1,('rtp before multiplier'!A:A='total rtp'!A165)*('rtp before multiplier'!B:B='total rtp'!B165),0))</f>
        <v>1.5292353823088455E-3</v>
      </c>
      <c r="D165">
        <f t="shared" si="19"/>
        <v>3.9296591020728953E-4</v>
      </c>
      <c r="E165" s="7">
        <f t="shared" si="16"/>
        <v>6.0093737393018785E-7</v>
      </c>
      <c r="F165">
        <v>5</v>
      </c>
      <c r="G165" s="5">
        <v>30</v>
      </c>
      <c r="H165" s="8">
        <f t="shared" si="17"/>
        <v>160.1568101375999</v>
      </c>
      <c r="I165">
        <v>50</v>
      </c>
      <c r="J165" s="6">
        <f t="shared" si="18"/>
        <v>4.8122106450562488E-3</v>
      </c>
    </row>
    <row r="166" spans="1:10" ht="16.5" x14ac:dyDescent="0.2">
      <c r="A166">
        <v>13</v>
      </c>
      <c r="B166">
        <v>9</v>
      </c>
      <c r="C166" cm="1">
        <f t="array" ref="C166">INDEX('rtp before multiplier'!H:H,MATCH(1,('rtp before multiplier'!A:A='total rtp'!A166)*('rtp before multiplier'!B:B='total rtp'!B166),0))</f>
        <v>4.9975012493753125E-5</v>
      </c>
      <c r="D166">
        <f t="shared" si="19"/>
        <v>0.14279398762157383</v>
      </c>
      <c r="E166" s="7">
        <f t="shared" si="16"/>
        <v>7.1361313154209808E-6</v>
      </c>
      <c r="F166">
        <v>0</v>
      </c>
      <c r="G166" s="5">
        <v>30</v>
      </c>
      <c r="H166" s="8">
        <f t="shared" si="17"/>
        <v>1</v>
      </c>
      <c r="I166">
        <v>250</v>
      </c>
      <c r="J166" s="6">
        <f t="shared" si="18"/>
        <v>1.7840328288552451E-3</v>
      </c>
    </row>
    <row r="167" spans="1:10" ht="16.5" x14ac:dyDescent="0.2">
      <c r="A167">
        <v>13</v>
      </c>
      <c r="B167">
        <v>9</v>
      </c>
      <c r="C167" cm="1">
        <f t="array" ref="C167">INDEX('rtp before multiplier'!H:H,MATCH(1,('rtp before multiplier'!A:A='total rtp'!A167)*('rtp before multiplier'!B:B='total rtp'!B167),0))</f>
        <v>4.9975012493753125E-5</v>
      </c>
      <c r="D167">
        <f t="shared" si="19"/>
        <v>0.37798408488063662</v>
      </c>
      <c r="E167" s="7">
        <f t="shared" si="16"/>
        <v>1.8889759364349658E-5</v>
      </c>
      <c r="F167">
        <v>1</v>
      </c>
      <c r="G167" s="5">
        <v>30</v>
      </c>
      <c r="H167" s="8">
        <f t="shared" si="17"/>
        <v>2.76</v>
      </c>
      <c r="I167">
        <v>250</v>
      </c>
      <c r="J167" s="6">
        <f t="shared" si="18"/>
        <v>1.3033933961401263E-2</v>
      </c>
    </row>
    <row r="168" spans="1:10" ht="16.5" x14ac:dyDescent="0.2">
      <c r="A168">
        <v>13</v>
      </c>
      <c r="B168">
        <v>9</v>
      </c>
      <c r="C168" cm="1">
        <f t="array" ref="C168">INDEX('rtp before multiplier'!H:H,MATCH(1,('rtp before multiplier'!A:A='total rtp'!A168)*('rtp before multiplier'!B:B='total rtp'!B168),0))</f>
        <v>4.9975012493753125E-5</v>
      </c>
      <c r="D168">
        <f t="shared" si="19"/>
        <v>0.33598585322723251</v>
      </c>
      <c r="E168" s="7">
        <f t="shared" si="16"/>
        <v>1.6790897212755249E-5</v>
      </c>
      <c r="F168">
        <v>2</v>
      </c>
      <c r="G168" s="5">
        <v>30</v>
      </c>
      <c r="H168" s="8">
        <f t="shared" si="17"/>
        <v>7.6176000000000004</v>
      </c>
      <c r="I168">
        <v>250</v>
      </c>
      <c r="J168" s="6">
        <f t="shared" si="18"/>
        <v>3.1976584651971098E-2</v>
      </c>
    </row>
    <row r="169" spans="1:10" ht="16.5" x14ac:dyDescent="0.2">
      <c r="A169">
        <v>13</v>
      </c>
      <c r="B169">
        <v>9</v>
      </c>
      <c r="C169" cm="1">
        <f t="array" ref="C169">INDEX('rtp before multiplier'!H:H,MATCH(1,('rtp before multiplier'!A:A='total rtp'!A169)*('rtp before multiplier'!B:B='total rtp'!B169),0))</f>
        <v>4.9975012493753125E-5</v>
      </c>
      <c r="D169">
        <f t="shared" si="19"/>
        <v>0.12378426171529618</v>
      </c>
      <c r="E169" s="7">
        <f t="shared" si="16"/>
        <v>6.1861200257519332E-6</v>
      </c>
      <c r="F169">
        <v>3</v>
      </c>
      <c r="G169" s="5">
        <v>30</v>
      </c>
      <c r="H169" s="8">
        <f t="shared" si="17"/>
        <v>21.024576000000003</v>
      </c>
      <c r="I169">
        <v>250</v>
      </c>
      <c r="J169" s="6">
        <f t="shared" si="18"/>
        <v>3.2515137656635877E-2</v>
      </c>
    </row>
    <row r="170" spans="1:10" ht="16.5" x14ac:dyDescent="0.2">
      <c r="A170">
        <v>13</v>
      </c>
      <c r="B170">
        <v>9</v>
      </c>
      <c r="C170" cm="1">
        <f t="array" ref="C170">INDEX('rtp before multiplier'!H:H,MATCH(1,('rtp before multiplier'!A:A='total rtp'!A170)*('rtp before multiplier'!B:B='total rtp'!B170),0))</f>
        <v>4.9975012493753125E-5</v>
      </c>
      <c r="D170">
        <f t="shared" si="19"/>
        <v>1.8567639257294429E-2</v>
      </c>
      <c r="E170" s="7">
        <f t="shared" si="16"/>
        <v>9.2791800386279011E-7</v>
      </c>
      <c r="F170">
        <v>4</v>
      </c>
      <c r="G170" s="5">
        <v>30</v>
      </c>
      <c r="H170" s="8">
        <f t="shared" si="17"/>
        <v>58.027829760000024</v>
      </c>
      <c r="I170">
        <v>250</v>
      </c>
      <c r="J170" s="6">
        <f t="shared" si="18"/>
        <v>1.3461266989847257E-2</v>
      </c>
    </row>
    <row r="171" spans="1:10" ht="16.5" x14ac:dyDescent="0.2">
      <c r="A171">
        <v>13</v>
      </c>
      <c r="B171">
        <v>9</v>
      </c>
      <c r="C171" cm="1">
        <f t="array" ref="C171">INDEX('rtp before multiplier'!H:H,MATCH(1,('rtp before multiplier'!A:A='total rtp'!A171)*('rtp before multiplier'!B:B='total rtp'!B171),0))</f>
        <v>4.9975012493753125E-5</v>
      </c>
      <c r="D171">
        <f t="shared" si="19"/>
        <v>8.8417329796640137E-4</v>
      </c>
      <c r="E171" s="7">
        <f t="shared" si="16"/>
        <v>4.4186571612513813E-8</v>
      </c>
      <c r="F171">
        <v>5</v>
      </c>
      <c r="G171" s="5">
        <v>30</v>
      </c>
      <c r="H171" s="8">
        <f t="shared" si="17"/>
        <v>160.1568101375999</v>
      </c>
      <c r="I171">
        <v>250</v>
      </c>
      <c r="J171" s="6">
        <f t="shared" si="18"/>
        <v>1.7691950900942091E-3</v>
      </c>
    </row>
    <row r="172" spans="1:10" ht="16.5" x14ac:dyDescent="0.2">
      <c r="E172" s="7"/>
      <c r="F172" s="5"/>
      <c r="G172" s="5"/>
      <c r="H172" s="8"/>
    </row>
    <row r="173" spans="1:10" ht="16.5" x14ac:dyDescent="0.2">
      <c r="E173" s="7"/>
      <c r="G173" s="5"/>
      <c r="H173" s="8"/>
    </row>
    <row r="174" spans="1:10" ht="16.5" x14ac:dyDescent="0.2">
      <c r="E174" s="7"/>
      <c r="G174" s="5"/>
      <c r="H174" s="8"/>
    </row>
    <row r="175" spans="1:10" ht="16.5" x14ac:dyDescent="0.2">
      <c r="E175" s="7"/>
      <c r="G175" s="5"/>
      <c r="H175" s="8"/>
    </row>
    <row r="176" spans="1:10" ht="16.5" x14ac:dyDescent="0.2">
      <c r="E176" s="7"/>
      <c r="G176" s="5"/>
      <c r="H176" s="8"/>
    </row>
    <row r="177" spans="5:8" ht="16.5" x14ac:dyDescent="0.2">
      <c r="E177" s="7"/>
      <c r="G177" s="5"/>
      <c r="H177" s="8"/>
    </row>
    <row r="178" spans="5:8" ht="16.5" x14ac:dyDescent="0.2">
      <c r="E178" s="7"/>
      <c r="G178" s="5"/>
      <c r="H178" s="8"/>
    </row>
    <row r="179" spans="5:8" ht="16.5" x14ac:dyDescent="0.2">
      <c r="E179" s="7"/>
      <c r="G179" s="5"/>
      <c r="H179" s="8"/>
    </row>
    <row r="180" spans="5:8" ht="16.5" x14ac:dyDescent="0.2">
      <c r="E180" s="7"/>
      <c r="G180" s="5"/>
      <c r="H180" s="8"/>
    </row>
    <row r="181" spans="5:8" ht="16.5" x14ac:dyDescent="0.2">
      <c r="E181" s="7"/>
      <c r="G181" s="5"/>
      <c r="H181" s="8"/>
    </row>
    <row r="182" spans="5:8" ht="16.5" x14ac:dyDescent="0.2">
      <c r="E182" s="7"/>
      <c r="G182" s="5"/>
      <c r="H182" s="8"/>
    </row>
    <row r="183" spans="5:8" ht="16.5" x14ac:dyDescent="0.2">
      <c r="E183" s="7"/>
      <c r="G183" s="5"/>
      <c r="H183" s="8"/>
    </row>
    <row r="184" spans="5:8" ht="16.5" x14ac:dyDescent="0.2">
      <c r="E184" s="7"/>
      <c r="G184" s="5"/>
      <c r="H184" s="8"/>
    </row>
    <row r="185" spans="5:8" ht="16.5" x14ac:dyDescent="0.2">
      <c r="E185" s="7"/>
      <c r="G185" s="5"/>
      <c r="H185" s="8"/>
    </row>
    <row r="186" spans="5:8" ht="16.5" x14ac:dyDescent="0.2">
      <c r="E186" s="7"/>
      <c r="G186" s="5"/>
      <c r="H186" s="8"/>
    </row>
    <row r="187" spans="5:8" ht="16.5" x14ac:dyDescent="0.2">
      <c r="E187" s="7"/>
      <c r="G187" s="5"/>
      <c r="H187" s="8"/>
    </row>
    <row r="188" spans="5:8" ht="16.5" x14ac:dyDescent="0.2">
      <c r="E188" s="7"/>
      <c r="G188" s="5"/>
      <c r="H188" s="8"/>
    </row>
    <row r="189" spans="5:8" ht="16.5" x14ac:dyDescent="0.2">
      <c r="E189" s="7"/>
      <c r="G189" s="5"/>
      <c r="H189" s="8"/>
    </row>
    <row r="190" spans="5:8" ht="16.5" x14ac:dyDescent="0.2">
      <c r="E190" s="7"/>
      <c r="G190" s="5"/>
      <c r="H190" s="8"/>
    </row>
    <row r="191" spans="5:8" ht="16.5" x14ac:dyDescent="0.2">
      <c r="E191" s="7"/>
      <c r="G191" s="5"/>
      <c r="H191" s="8"/>
    </row>
    <row r="192" spans="5:8" ht="16.5" x14ac:dyDescent="0.2">
      <c r="E192" s="7"/>
      <c r="G192" s="5"/>
      <c r="H192" s="8"/>
    </row>
    <row r="193" spans="5:8" ht="16.5" x14ac:dyDescent="0.2">
      <c r="E193" s="7"/>
      <c r="G193" s="5"/>
      <c r="H193" s="8"/>
    </row>
    <row r="194" spans="5:8" ht="16.5" x14ac:dyDescent="0.2">
      <c r="E194" s="7"/>
      <c r="G194" s="5"/>
      <c r="H194" s="8"/>
    </row>
    <row r="195" spans="5:8" ht="16.5" x14ac:dyDescent="0.2">
      <c r="E195" s="7"/>
      <c r="G195" s="5"/>
      <c r="H195" s="8"/>
    </row>
    <row r="196" spans="5:8" ht="16.5" x14ac:dyDescent="0.2">
      <c r="E196" s="7"/>
      <c r="G196" s="5"/>
      <c r="H196" s="8"/>
    </row>
    <row r="197" spans="5:8" ht="16.5" x14ac:dyDescent="0.2">
      <c r="E197" s="7"/>
      <c r="G197" s="5"/>
      <c r="H197" s="8"/>
    </row>
    <row r="198" spans="5:8" ht="16.5" x14ac:dyDescent="0.2">
      <c r="E198" s="7"/>
      <c r="G198" s="5"/>
      <c r="H198" s="8"/>
    </row>
    <row r="199" spans="5:8" ht="16.5" x14ac:dyDescent="0.2">
      <c r="E199" s="7"/>
      <c r="G199" s="5"/>
      <c r="H199" s="8"/>
    </row>
    <row r="200" spans="5:8" ht="16.5" x14ac:dyDescent="0.2">
      <c r="E200" s="7"/>
      <c r="G200" s="5"/>
      <c r="H200" s="8"/>
    </row>
    <row r="201" spans="5:8" ht="16.5" x14ac:dyDescent="0.2">
      <c r="E201" s="7"/>
      <c r="G201" s="5"/>
      <c r="H201" s="8"/>
    </row>
    <row r="202" spans="5:8" ht="16.5" x14ac:dyDescent="0.2">
      <c r="E202" s="7"/>
      <c r="G202" s="5"/>
      <c r="H202" s="8"/>
    </row>
    <row r="203" spans="5:8" ht="16.5" x14ac:dyDescent="0.2">
      <c r="E203" s="7"/>
      <c r="G203" s="5"/>
      <c r="H203" s="8"/>
    </row>
    <row r="204" spans="5:8" ht="16.5" x14ac:dyDescent="0.2">
      <c r="E204" s="7"/>
      <c r="G204" s="5"/>
      <c r="H204" s="8"/>
    </row>
    <row r="205" spans="5:8" ht="16.5" x14ac:dyDescent="0.2">
      <c r="E205" s="7"/>
      <c r="G205" s="5"/>
      <c r="H205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151A-EDDF-4594-8CE3-9D0758B71867}">
  <dimension ref="A1:AF513"/>
  <sheetViews>
    <sheetView zoomScale="80" zoomScaleNormal="80" workbookViewId="0">
      <pane ySplit="1" topLeftCell="A2" activePane="bottomLeft" state="frozen"/>
      <selection pane="bottomLeft" activeCell="V19" sqref="V19"/>
    </sheetView>
  </sheetViews>
  <sheetFormatPr defaultRowHeight="14.25" x14ac:dyDescent="0.2"/>
  <cols>
    <col min="16" max="16" width="9.125" customWidth="1"/>
  </cols>
  <sheetData>
    <row r="1" spans="1:32" ht="1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1"/>
      <c r="V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/>
      <c r="AF1" s="3"/>
    </row>
    <row r="2" spans="1:32" ht="15" x14ac:dyDescent="0.2">
      <c r="A2" s="2"/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L2" s="4" t="b">
        <f t="shared" ref="L2:L65" si="0">AND($B2&gt;=$V$2,$C2&gt;=$W$2,$D2&gt;=$X$2,$E2&gt;=$Y$2,$F2&gt;=$Z$2,$G2&gt;=$AA$2,$H2&gt;=$AB$2,$I2&gt;=$AC$2,$J2&gt;=$AD$2)</f>
        <v>1</v>
      </c>
      <c r="M2" s="4" t="b">
        <f t="shared" ref="M2:M65" si="1">AND($B2&gt;=$V$3,$C2&gt;=$W$3,$D2&gt;=$X$3,$E2&gt;=$Y$3,$F2&gt;=$Z$3,$G2&gt;=$AA$3,$H2&gt;=$AB$3,$I2&gt;=$AC$3,$J2&gt;=$AD$3)</f>
        <v>1</v>
      </c>
      <c r="N2" s="4" t="b">
        <f t="shared" ref="N2:N65" si="2">AND($B2&gt;=$V$4,$C2&gt;=$W$4,$D2&gt;=$X$4,$E2&gt;=$Y$4,$F2&gt;=$Z$4,$G2&gt;=$AA$4,$H2&gt;=$AB$4,$I2&gt;=$AC$4,$J2&gt;=$AD$4)</f>
        <v>1</v>
      </c>
      <c r="O2" s="4" t="b">
        <f t="shared" ref="O2:O65" si="3">AND($B2&gt;=$V$5,$C2&gt;=$W$5,$D2&gt;=$X$5,$E2&gt;=$Y$5,$F2&gt;=$Z$5,$G2&gt;=$AA$5,$H2&gt;=$AB$5,$I2&gt;=$AC$5,$J2&gt;=$AD$5)</f>
        <v>1</v>
      </c>
      <c r="P2" s="4" t="b">
        <f t="shared" ref="P2:P65" si="4">AND($B2&gt;=$V$6,$C2&gt;=$W$6,$D2&gt;=$X$6,$E2&gt;=$Y$6,$F2&gt;=$Z$6,$G2&gt;=$AA$6,$H2&gt;=$AB$6,$I2&gt;=$AC$6,$J2&gt;=$AD$6)</f>
        <v>1</v>
      </c>
      <c r="Q2" s="4" t="b">
        <f t="shared" ref="Q2:Q65" si="5">AND($B2&gt;=$V$7,$C2&gt;=$W$7,$D2&gt;=$X$7,$E2&gt;=$Y$7,$F2&gt;=$Z$7,$G2&gt;=$AA$7,$H2&gt;=$AB$7,$I2&gt;=$AC$7,$J2&gt;=$AD$7)</f>
        <v>1</v>
      </c>
      <c r="U2" s="2" t="s">
        <v>9</v>
      </c>
      <c r="V2">
        <v>1</v>
      </c>
      <c r="W2">
        <v>1</v>
      </c>
      <c r="X2">
        <v>1</v>
      </c>
      <c r="AF2" s="2"/>
    </row>
    <row r="3" spans="1:32" ht="15" x14ac:dyDescent="0.2">
      <c r="A3" s="2"/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L3" s="4" t="b">
        <f t="shared" si="0"/>
        <v>1</v>
      </c>
      <c r="M3" s="4" t="b">
        <f t="shared" si="1"/>
        <v>1</v>
      </c>
      <c r="N3" s="4" t="b">
        <f t="shared" si="2"/>
        <v>0</v>
      </c>
      <c r="O3" s="4" t="b">
        <f t="shared" si="3"/>
        <v>1</v>
      </c>
      <c r="P3" s="4" t="b">
        <f t="shared" si="4"/>
        <v>1</v>
      </c>
      <c r="Q3" s="4" t="b">
        <f t="shared" si="5"/>
        <v>0</v>
      </c>
      <c r="U3" s="2" t="s">
        <v>10</v>
      </c>
      <c r="Y3">
        <v>1</v>
      </c>
      <c r="Z3">
        <v>1</v>
      </c>
      <c r="AA3">
        <v>1</v>
      </c>
      <c r="AF3" s="2"/>
    </row>
    <row r="4" spans="1:32" ht="15" x14ac:dyDescent="0.2">
      <c r="A4" s="2"/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  <c r="L4" s="4" t="b">
        <f t="shared" si="0"/>
        <v>1</v>
      </c>
      <c r="M4" s="4" t="b">
        <f t="shared" si="1"/>
        <v>1</v>
      </c>
      <c r="N4" s="4" t="b">
        <f t="shared" si="2"/>
        <v>0</v>
      </c>
      <c r="O4" s="4" t="b">
        <f t="shared" si="3"/>
        <v>1</v>
      </c>
      <c r="P4" s="4" t="b">
        <f t="shared" si="4"/>
        <v>0</v>
      </c>
      <c r="Q4" s="4" t="b">
        <f t="shared" si="5"/>
        <v>1</v>
      </c>
      <c r="U4" s="2" t="s">
        <v>11</v>
      </c>
      <c r="AB4">
        <v>1</v>
      </c>
      <c r="AC4">
        <v>1</v>
      </c>
      <c r="AD4">
        <v>1</v>
      </c>
      <c r="AF4" s="2"/>
    </row>
    <row r="5" spans="1:32" ht="15" x14ac:dyDescent="0.2">
      <c r="A5" s="2"/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L5" s="4" t="b">
        <f t="shared" si="0"/>
        <v>1</v>
      </c>
      <c r="M5" s="4" t="b">
        <f t="shared" si="1"/>
        <v>1</v>
      </c>
      <c r="N5" s="4" t="b">
        <f t="shared" si="2"/>
        <v>0</v>
      </c>
      <c r="O5" s="4" t="b">
        <f t="shared" si="3"/>
        <v>1</v>
      </c>
      <c r="P5" s="4" t="b">
        <f t="shared" si="4"/>
        <v>0</v>
      </c>
      <c r="Q5" s="4" t="b">
        <f t="shared" si="5"/>
        <v>0</v>
      </c>
      <c r="U5" s="2" t="s">
        <v>12</v>
      </c>
      <c r="V5">
        <v>1</v>
      </c>
      <c r="Y5">
        <v>1</v>
      </c>
      <c r="AB5">
        <v>1</v>
      </c>
      <c r="AF5" s="2"/>
    </row>
    <row r="6" spans="1:32" ht="15" x14ac:dyDescent="0.2">
      <c r="A6" s="2"/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L6" s="4" t="b">
        <f t="shared" si="0"/>
        <v>1</v>
      </c>
      <c r="M6" s="4" t="b">
        <f t="shared" si="1"/>
        <v>1</v>
      </c>
      <c r="N6" s="4" t="b">
        <f t="shared" si="2"/>
        <v>0</v>
      </c>
      <c r="O6" s="4" t="b">
        <f t="shared" si="3"/>
        <v>0</v>
      </c>
      <c r="P6" s="4" t="b">
        <f t="shared" si="4"/>
        <v>1</v>
      </c>
      <c r="Q6" s="4" t="b">
        <f t="shared" si="5"/>
        <v>1</v>
      </c>
      <c r="U6" s="2" t="s">
        <v>13</v>
      </c>
      <c r="W6">
        <v>1</v>
      </c>
      <c r="Z6">
        <v>1</v>
      </c>
      <c r="AC6">
        <v>1</v>
      </c>
      <c r="AF6" s="2"/>
    </row>
    <row r="7" spans="1:32" ht="15" x14ac:dyDescent="0.2">
      <c r="A7" s="2"/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L7" s="4" t="b">
        <f t="shared" si="0"/>
        <v>1</v>
      </c>
      <c r="M7" s="4" t="b">
        <f t="shared" si="1"/>
        <v>1</v>
      </c>
      <c r="N7" s="4" t="b">
        <f t="shared" si="2"/>
        <v>0</v>
      </c>
      <c r="O7" s="4" t="b">
        <f t="shared" si="3"/>
        <v>0</v>
      </c>
      <c r="P7" s="4" t="b">
        <f t="shared" si="4"/>
        <v>1</v>
      </c>
      <c r="Q7" s="4" t="b">
        <f t="shared" si="5"/>
        <v>0</v>
      </c>
      <c r="U7" s="2" t="s">
        <v>14</v>
      </c>
      <c r="X7">
        <v>1</v>
      </c>
      <c r="AA7">
        <v>1</v>
      </c>
      <c r="AD7">
        <v>1</v>
      </c>
      <c r="AF7" s="2"/>
    </row>
    <row r="8" spans="1:32" ht="15" x14ac:dyDescent="0.2">
      <c r="A8" s="2"/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L8" s="4" t="b">
        <f t="shared" si="0"/>
        <v>1</v>
      </c>
      <c r="M8" s="4" t="b">
        <f t="shared" si="1"/>
        <v>1</v>
      </c>
      <c r="N8" s="4" t="b">
        <f t="shared" si="2"/>
        <v>0</v>
      </c>
      <c r="O8" s="4" t="b">
        <f t="shared" si="3"/>
        <v>0</v>
      </c>
      <c r="P8" s="4" t="b">
        <f t="shared" si="4"/>
        <v>0</v>
      </c>
      <c r="Q8" s="4" t="b">
        <f t="shared" si="5"/>
        <v>1</v>
      </c>
      <c r="AF8" s="2"/>
    </row>
    <row r="9" spans="1:32" ht="15" x14ac:dyDescent="0.2">
      <c r="A9" s="2"/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L9" s="4" t="b">
        <f t="shared" si="0"/>
        <v>1</v>
      </c>
      <c r="M9" s="4" t="b">
        <f t="shared" si="1"/>
        <v>1</v>
      </c>
      <c r="N9" s="4" t="b">
        <f t="shared" si="2"/>
        <v>0</v>
      </c>
      <c r="O9" s="4" t="b">
        <f t="shared" si="3"/>
        <v>0</v>
      </c>
      <c r="P9" s="4" t="b">
        <f t="shared" si="4"/>
        <v>0</v>
      </c>
      <c r="Q9" s="4" t="b">
        <f t="shared" si="5"/>
        <v>0</v>
      </c>
      <c r="AF9" s="2"/>
    </row>
    <row r="10" spans="1:32" ht="15" x14ac:dyDescent="0.2"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L10" s="4" t="b">
        <f t="shared" si="0"/>
        <v>1</v>
      </c>
      <c r="M10" s="4" t="b">
        <f t="shared" si="1"/>
        <v>0</v>
      </c>
      <c r="N10" s="4" t="b">
        <f t="shared" si="2"/>
        <v>1</v>
      </c>
      <c r="O10" s="4" t="b">
        <f t="shared" si="3"/>
        <v>1</v>
      </c>
      <c r="P10" s="4" t="b">
        <f t="shared" si="4"/>
        <v>1</v>
      </c>
      <c r="Q10" s="4" t="b">
        <f t="shared" si="5"/>
        <v>0</v>
      </c>
    </row>
    <row r="11" spans="1:32" ht="15" x14ac:dyDescent="0.2"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L11" s="4" t="b">
        <f t="shared" si="0"/>
        <v>1</v>
      </c>
      <c r="M11" s="4" t="b">
        <f t="shared" si="1"/>
        <v>0</v>
      </c>
      <c r="N11" s="4" t="b">
        <f t="shared" si="2"/>
        <v>0</v>
      </c>
      <c r="O11" s="4" t="b">
        <f t="shared" si="3"/>
        <v>1</v>
      </c>
      <c r="P11" s="4" t="b">
        <f t="shared" si="4"/>
        <v>1</v>
      </c>
      <c r="Q11" s="4" t="b">
        <f t="shared" si="5"/>
        <v>0</v>
      </c>
    </row>
    <row r="12" spans="1:32" ht="15" x14ac:dyDescent="0.2"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L12" s="4" t="b">
        <f t="shared" si="0"/>
        <v>1</v>
      </c>
      <c r="M12" s="4" t="b">
        <f t="shared" si="1"/>
        <v>0</v>
      </c>
      <c r="N12" s="4" t="b">
        <f t="shared" si="2"/>
        <v>0</v>
      </c>
      <c r="O12" s="4" t="b">
        <f t="shared" si="3"/>
        <v>1</v>
      </c>
      <c r="P12" s="4" t="b">
        <f t="shared" si="4"/>
        <v>0</v>
      </c>
      <c r="Q12" s="4" t="b">
        <f t="shared" si="5"/>
        <v>0</v>
      </c>
    </row>
    <row r="13" spans="1:32" ht="15" x14ac:dyDescent="0.2"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L13" s="4" t="b">
        <f t="shared" si="0"/>
        <v>1</v>
      </c>
      <c r="M13" s="4" t="b">
        <f t="shared" si="1"/>
        <v>0</v>
      </c>
      <c r="N13" s="4" t="b">
        <f t="shared" si="2"/>
        <v>0</v>
      </c>
      <c r="O13" s="4" t="b">
        <f t="shared" si="3"/>
        <v>1</v>
      </c>
      <c r="P13" s="4" t="b">
        <f t="shared" si="4"/>
        <v>0</v>
      </c>
      <c r="Q13" s="4" t="b">
        <f t="shared" si="5"/>
        <v>0</v>
      </c>
    </row>
    <row r="14" spans="1:32" ht="15" x14ac:dyDescent="0.2"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L14" s="4" t="b">
        <f t="shared" si="0"/>
        <v>1</v>
      </c>
      <c r="M14" s="4" t="b">
        <f t="shared" si="1"/>
        <v>0</v>
      </c>
      <c r="N14" s="4" t="b">
        <f t="shared" si="2"/>
        <v>0</v>
      </c>
      <c r="O14" s="4" t="b">
        <f t="shared" si="3"/>
        <v>0</v>
      </c>
      <c r="P14" s="4" t="b">
        <f t="shared" si="4"/>
        <v>1</v>
      </c>
      <c r="Q14" s="4" t="b">
        <f t="shared" si="5"/>
        <v>0</v>
      </c>
    </row>
    <row r="15" spans="1:32" ht="15" x14ac:dyDescent="0.2"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L15" s="4" t="b">
        <f t="shared" si="0"/>
        <v>1</v>
      </c>
      <c r="M15" s="4" t="b">
        <f t="shared" si="1"/>
        <v>0</v>
      </c>
      <c r="N15" s="4" t="b">
        <f t="shared" si="2"/>
        <v>0</v>
      </c>
      <c r="O15" s="4" t="b">
        <f t="shared" si="3"/>
        <v>0</v>
      </c>
      <c r="P15" s="4" t="b">
        <f t="shared" si="4"/>
        <v>1</v>
      </c>
      <c r="Q15" s="4" t="b">
        <f t="shared" si="5"/>
        <v>0</v>
      </c>
    </row>
    <row r="16" spans="1:32" ht="15" x14ac:dyDescent="0.2"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L16" s="4" t="b">
        <f t="shared" si="0"/>
        <v>1</v>
      </c>
      <c r="M16" s="4" t="b">
        <f t="shared" si="1"/>
        <v>0</v>
      </c>
      <c r="N16" s="4" t="b">
        <f t="shared" si="2"/>
        <v>0</v>
      </c>
      <c r="O16" s="4" t="b">
        <f t="shared" si="3"/>
        <v>0</v>
      </c>
      <c r="P16" s="4" t="b">
        <f t="shared" si="4"/>
        <v>0</v>
      </c>
      <c r="Q16" s="4" t="b">
        <f t="shared" si="5"/>
        <v>0</v>
      </c>
    </row>
    <row r="17" spans="2:17" ht="15" x14ac:dyDescent="0.2"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L17" s="4" t="b">
        <f t="shared" si="0"/>
        <v>1</v>
      </c>
      <c r="M17" s="4" t="b">
        <f t="shared" si="1"/>
        <v>0</v>
      </c>
      <c r="N17" s="4" t="b">
        <f t="shared" si="2"/>
        <v>0</v>
      </c>
      <c r="O17" s="4" t="b">
        <f t="shared" si="3"/>
        <v>0</v>
      </c>
      <c r="P17" s="4" t="b">
        <f t="shared" si="4"/>
        <v>0</v>
      </c>
      <c r="Q17" s="4" t="b">
        <f t="shared" si="5"/>
        <v>0</v>
      </c>
    </row>
    <row r="18" spans="2:17" ht="15" x14ac:dyDescent="0.2"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  <c r="H18">
        <v>1</v>
      </c>
      <c r="I18">
        <v>1</v>
      </c>
      <c r="J18">
        <v>1</v>
      </c>
      <c r="L18" s="4" t="b">
        <f t="shared" si="0"/>
        <v>1</v>
      </c>
      <c r="M18" s="4" t="b">
        <f t="shared" si="1"/>
        <v>0</v>
      </c>
      <c r="N18" s="4" t="b">
        <f t="shared" si="2"/>
        <v>1</v>
      </c>
      <c r="O18" s="4" t="b">
        <f t="shared" si="3"/>
        <v>1</v>
      </c>
      <c r="P18" s="4" t="b">
        <f t="shared" si="4"/>
        <v>0</v>
      </c>
      <c r="Q18" s="4" t="b">
        <f t="shared" si="5"/>
        <v>1</v>
      </c>
    </row>
    <row r="19" spans="2:17" ht="15" x14ac:dyDescent="0.2"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1</v>
      </c>
      <c r="I19">
        <v>1</v>
      </c>
      <c r="J19">
        <v>0</v>
      </c>
      <c r="L19" s="4" t="b">
        <f t="shared" si="0"/>
        <v>1</v>
      </c>
      <c r="M19" s="4" t="b">
        <f t="shared" si="1"/>
        <v>0</v>
      </c>
      <c r="N19" s="4" t="b">
        <f t="shared" si="2"/>
        <v>0</v>
      </c>
      <c r="O19" s="4" t="b">
        <f t="shared" si="3"/>
        <v>1</v>
      </c>
      <c r="P19" s="4" t="b">
        <f t="shared" si="4"/>
        <v>0</v>
      </c>
      <c r="Q19" s="4" t="b">
        <f t="shared" si="5"/>
        <v>0</v>
      </c>
    </row>
    <row r="20" spans="2:17" ht="15" x14ac:dyDescent="0.2"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0</v>
      </c>
      <c r="J20">
        <v>1</v>
      </c>
      <c r="L20" s="4" t="b">
        <f t="shared" si="0"/>
        <v>1</v>
      </c>
      <c r="M20" s="4" t="b">
        <f t="shared" si="1"/>
        <v>0</v>
      </c>
      <c r="N20" s="4" t="b">
        <f t="shared" si="2"/>
        <v>0</v>
      </c>
      <c r="O20" s="4" t="b">
        <f t="shared" si="3"/>
        <v>1</v>
      </c>
      <c r="P20" s="4" t="b">
        <f t="shared" si="4"/>
        <v>0</v>
      </c>
      <c r="Q20" s="4" t="b">
        <f t="shared" si="5"/>
        <v>1</v>
      </c>
    </row>
    <row r="21" spans="2:17" ht="15" x14ac:dyDescent="0.2"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0</v>
      </c>
      <c r="L21" s="4" t="b">
        <f t="shared" si="0"/>
        <v>1</v>
      </c>
      <c r="M21" s="4" t="b">
        <f t="shared" si="1"/>
        <v>0</v>
      </c>
      <c r="N21" s="4" t="b">
        <f t="shared" si="2"/>
        <v>0</v>
      </c>
      <c r="O21" s="4" t="b">
        <f t="shared" si="3"/>
        <v>1</v>
      </c>
      <c r="P21" s="4" t="b">
        <f t="shared" si="4"/>
        <v>0</v>
      </c>
      <c r="Q21" s="4" t="b">
        <f t="shared" si="5"/>
        <v>0</v>
      </c>
    </row>
    <row r="22" spans="2:17" ht="15" x14ac:dyDescent="0.2"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L22" s="4" t="b">
        <f t="shared" si="0"/>
        <v>1</v>
      </c>
      <c r="M22" s="4" t="b">
        <f t="shared" si="1"/>
        <v>0</v>
      </c>
      <c r="N22" s="4" t="b">
        <f t="shared" si="2"/>
        <v>0</v>
      </c>
      <c r="O22" s="4" t="b">
        <f t="shared" si="3"/>
        <v>0</v>
      </c>
      <c r="P22" s="4" t="b">
        <f t="shared" si="4"/>
        <v>0</v>
      </c>
      <c r="Q22" s="4" t="b">
        <f t="shared" si="5"/>
        <v>1</v>
      </c>
    </row>
    <row r="23" spans="2:17" ht="15" x14ac:dyDescent="0.2"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L23" s="4" t="b">
        <f t="shared" si="0"/>
        <v>1</v>
      </c>
      <c r="M23" s="4" t="b">
        <f t="shared" si="1"/>
        <v>0</v>
      </c>
      <c r="N23" s="4" t="b">
        <f t="shared" si="2"/>
        <v>0</v>
      </c>
      <c r="O23" s="4" t="b">
        <f t="shared" si="3"/>
        <v>0</v>
      </c>
      <c r="P23" s="4" t="b">
        <f t="shared" si="4"/>
        <v>0</v>
      </c>
      <c r="Q23" s="4" t="b">
        <f t="shared" si="5"/>
        <v>0</v>
      </c>
    </row>
    <row r="24" spans="2:17" ht="15" x14ac:dyDescent="0.2"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1</v>
      </c>
      <c r="L24" s="4" t="b">
        <f t="shared" si="0"/>
        <v>1</v>
      </c>
      <c r="M24" s="4" t="b">
        <f t="shared" si="1"/>
        <v>0</v>
      </c>
      <c r="N24" s="4" t="b">
        <f t="shared" si="2"/>
        <v>0</v>
      </c>
      <c r="O24" s="4" t="b">
        <f t="shared" si="3"/>
        <v>0</v>
      </c>
      <c r="P24" s="4" t="b">
        <f t="shared" si="4"/>
        <v>0</v>
      </c>
      <c r="Q24" s="4" t="b">
        <f t="shared" si="5"/>
        <v>1</v>
      </c>
    </row>
    <row r="25" spans="2:17" ht="15" x14ac:dyDescent="0.2"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L25" s="4" t="b">
        <f t="shared" si="0"/>
        <v>1</v>
      </c>
      <c r="M25" s="4" t="b">
        <f t="shared" si="1"/>
        <v>0</v>
      </c>
      <c r="N25" s="4" t="b">
        <f t="shared" si="2"/>
        <v>0</v>
      </c>
      <c r="O25" s="4" t="b">
        <f t="shared" si="3"/>
        <v>0</v>
      </c>
      <c r="P25" s="4" t="b">
        <f t="shared" si="4"/>
        <v>0</v>
      </c>
      <c r="Q25" s="4" t="b">
        <f t="shared" si="5"/>
        <v>0</v>
      </c>
    </row>
    <row r="26" spans="2:17" ht="15" x14ac:dyDescent="0.2"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L26" s="4" t="b">
        <f t="shared" si="0"/>
        <v>1</v>
      </c>
      <c r="M26" s="4" t="b">
        <f t="shared" si="1"/>
        <v>0</v>
      </c>
      <c r="N26" s="4" t="b">
        <f t="shared" si="2"/>
        <v>1</v>
      </c>
      <c r="O26" s="4" t="b">
        <f t="shared" si="3"/>
        <v>1</v>
      </c>
      <c r="P26" s="4" t="b">
        <f t="shared" si="4"/>
        <v>0</v>
      </c>
      <c r="Q26" s="4" t="b">
        <f t="shared" si="5"/>
        <v>0</v>
      </c>
    </row>
    <row r="27" spans="2:17" ht="15" x14ac:dyDescent="0.2"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L27" s="4" t="b">
        <f t="shared" si="0"/>
        <v>1</v>
      </c>
      <c r="M27" s="4" t="b">
        <f t="shared" si="1"/>
        <v>0</v>
      </c>
      <c r="N27" s="4" t="b">
        <f t="shared" si="2"/>
        <v>0</v>
      </c>
      <c r="O27" s="4" t="b">
        <f t="shared" si="3"/>
        <v>1</v>
      </c>
      <c r="P27" s="4" t="b">
        <f t="shared" si="4"/>
        <v>0</v>
      </c>
      <c r="Q27" s="4" t="b">
        <f t="shared" si="5"/>
        <v>0</v>
      </c>
    </row>
    <row r="28" spans="2:17" ht="15" x14ac:dyDescent="0.2">
      <c r="B28">
        <v>1</v>
      </c>
      <c r="C28">
        <v>1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L28" s="4" t="b">
        <f t="shared" si="0"/>
        <v>1</v>
      </c>
      <c r="M28" s="4" t="b">
        <f t="shared" si="1"/>
        <v>0</v>
      </c>
      <c r="N28" s="4" t="b">
        <f t="shared" si="2"/>
        <v>0</v>
      </c>
      <c r="O28" s="4" t="b">
        <f t="shared" si="3"/>
        <v>1</v>
      </c>
      <c r="P28" s="4" t="b">
        <f t="shared" si="4"/>
        <v>0</v>
      </c>
      <c r="Q28" s="4" t="b">
        <f t="shared" si="5"/>
        <v>0</v>
      </c>
    </row>
    <row r="29" spans="2:17" ht="15" x14ac:dyDescent="0.2"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>
        <v>0</v>
      </c>
      <c r="J29">
        <v>0</v>
      </c>
      <c r="L29" s="4" t="b">
        <f t="shared" si="0"/>
        <v>1</v>
      </c>
      <c r="M29" s="4" t="b">
        <f t="shared" si="1"/>
        <v>0</v>
      </c>
      <c r="N29" s="4" t="b">
        <f t="shared" si="2"/>
        <v>0</v>
      </c>
      <c r="O29" s="4" t="b">
        <f t="shared" si="3"/>
        <v>1</v>
      </c>
      <c r="P29" s="4" t="b">
        <f t="shared" si="4"/>
        <v>0</v>
      </c>
      <c r="Q29" s="4" t="b">
        <f t="shared" si="5"/>
        <v>0</v>
      </c>
    </row>
    <row r="30" spans="2:17" ht="15" x14ac:dyDescent="0.2"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1</v>
      </c>
      <c r="L30" s="4" t="b">
        <f t="shared" si="0"/>
        <v>1</v>
      </c>
      <c r="M30" s="4" t="b">
        <f t="shared" si="1"/>
        <v>0</v>
      </c>
      <c r="N30" s="4" t="b">
        <f t="shared" si="2"/>
        <v>0</v>
      </c>
      <c r="O30" s="4" t="b">
        <f t="shared" si="3"/>
        <v>0</v>
      </c>
      <c r="P30" s="4" t="b">
        <f t="shared" si="4"/>
        <v>0</v>
      </c>
      <c r="Q30" s="4" t="b">
        <f t="shared" si="5"/>
        <v>0</v>
      </c>
    </row>
    <row r="31" spans="2:17" ht="15" x14ac:dyDescent="0.2"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L31" s="4" t="b">
        <f t="shared" si="0"/>
        <v>1</v>
      </c>
      <c r="M31" s="4" t="b">
        <f t="shared" si="1"/>
        <v>0</v>
      </c>
      <c r="N31" s="4" t="b">
        <f t="shared" si="2"/>
        <v>0</v>
      </c>
      <c r="O31" s="4" t="b">
        <f t="shared" si="3"/>
        <v>0</v>
      </c>
      <c r="P31" s="4" t="b">
        <f t="shared" si="4"/>
        <v>0</v>
      </c>
      <c r="Q31" s="4" t="b">
        <f t="shared" si="5"/>
        <v>0</v>
      </c>
    </row>
    <row r="32" spans="2:17" ht="15" x14ac:dyDescent="0.2"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L32" s="4" t="b">
        <f t="shared" si="0"/>
        <v>1</v>
      </c>
      <c r="M32" s="4" t="b">
        <f t="shared" si="1"/>
        <v>0</v>
      </c>
      <c r="N32" s="4" t="b">
        <f t="shared" si="2"/>
        <v>0</v>
      </c>
      <c r="O32" s="4" t="b">
        <f t="shared" si="3"/>
        <v>0</v>
      </c>
      <c r="P32" s="4" t="b">
        <f t="shared" si="4"/>
        <v>0</v>
      </c>
      <c r="Q32" s="4" t="b">
        <f t="shared" si="5"/>
        <v>0</v>
      </c>
    </row>
    <row r="33" spans="2:17" ht="15" x14ac:dyDescent="0.2"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L33" s="4" t="b">
        <f t="shared" si="0"/>
        <v>1</v>
      </c>
      <c r="M33" s="4" t="b">
        <f t="shared" si="1"/>
        <v>0</v>
      </c>
      <c r="N33" s="4" t="b">
        <f t="shared" si="2"/>
        <v>0</v>
      </c>
      <c r="O33" s="4" t="b">
        <f t="shared" si="3"/>
        <v>0</v>
      </c>
      <c r="P33" s="4" t="b">
        <f t="shared" si="4"/>
        <v>0</v>
      </c>
      <c r="Q33" s="4" t="b">
        <f t="shared" si="5"/>
        <v>0</v>
      </c>
    </row>
    <row r="34" spans="2:17" ht="15" x14ac:dyDescent="0.2">
      <c r="B34">
        <v>1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L34" s="4" t="b">
        <f t="shared" si="0"/>
        <v>1</v>
      </c>
      <c r="M34" s="4" t="b">
        <f t="shared" si="1"/>
        <v>0</v>
      </c>
      <c r="N34" s="4" t="b">
        <f t="shared" si="2"/>
        <v>1</v>
      </c>
      <c r="O34" s="4" t="b">
        <f t="shared" si="3"/>
        <v>0</v>
      </c>
      <c r="P34" s="4" t="b">
        <f t="shared" si="4"/>
        <v>1</v>
      </c>
      <c r="Q34" s="4" t="b">
        <f t="shared" si="5"/>
        <v>1</v>
      </c>
    </row>
    <row r="35" spans="2:17" ht="15" x14ac:dyDescent="0.2">
      <c r="B35">
        <v>1</v>
      </c>
      <c r="C35">
        <v>1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L35" s="4" t="b">
        <f t="shared" si="0"/>
        <v>1</v>
      </c>
      <c r="M35" s="4" t="b">
        <f t="shared" si="1"/>
        <v>0</v>
      </c>
      <c r="N35" s="4" t="b">
        <f t="shared" si="2"/>
        <v>0</v>
      </c>
      <c r="O35" s="4" t="b">
        <f t="shared" si="3"/>
        <v>0</v>
      </c>
      <c r="P35" s="4" t="b">
        <f t="shared" si="4"/>
        <v>1</v>
      </c>
      <c r="Q35" s="4" t="b">
        <f t="shared" si="5"/>
        <v>0</v>
      </c>
    </row>
    <row r="36" spans="2:17" ht="15" x14ac:dyDescent="0.2">
      <c r="B36">
        <v>1</v>
      </c>
      <c r="C36">
        <v>1</v>
      </c>
      <c r="D36">
        <v>1</v>
      </c>
      <c r="E36">
        <v>0</v>
      </c>
      <c r="F36">
        <v>1</v>
      </c>
      <c r="G36">
        <v>1</v>
      </c>
      <c r="H36">
        <v>1</v>
      </c>
      <c r="I36">
        <v>0</v>
      </c>
      <c r="J36">
        <v>1</v>
      </c>
      <c r="L36" s="4" t="b">
        <f t="shared" si="0"/>
        <v>1</v>
      </c>
      <c r="M36" s="4" t="b">
        <f t="shared" si="1"/>
        <v>0</v>
      </c>
      <c r="N36" s="4" t="b">
        <f t="shared" si="2"/>
        <v>0</v>
      </c>
      <c r="O36" s="4" t="b">
        <f t="shared" si="3"/>
        <v>0</v>
      </c>
      <c r="P36" s="4" t="b">
        <f t="shared" si="4"/>
        <v>0</v>
      </c>
      <c r="Q36" s="4" t="b">
        <f t="shared" si="5"/>
        <v>1</v>
      </c>
    </row>
    <row r="37" spans="2:17" ht="15" x14ac:dyDescent="0.2">
      <c r="B37">
        <v>1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0</v>
      </c>
      <c r="L37" s="4" t="b">
        <f t="shared" si="0"/>
        <v>1</v>
      </c>
      <c r="M37" s="4" t="b">
        <f t="shared" si="1"/>
        <v>0</v>
      </c>
      <c r="N37" s="4" t="b">
        <f t="shared" si="2"/>
        <v>0</v>
      </c>
      <c r="O37" s="4" t="b">
        <f t="shared" si="3"/>
        <v>0</v>
      </c>
      <c r="P37" s="4" t="b">
        <f t="shared" si="4"/>
        <v>0</v>
      </c>
      <c r="Q37" s="4" t="b">
        <f t="shared" si="5"/>
        <v>0</v>
      </c>
    </row>
    <row r="38" spans="2:17" ht="15" x14ac:dyDescent="0.2">
      <c r="B38">
        <v>1</v>
      </c>
      <c r="C38">
        <v>1</v>
      </c>
      <c r="D38">
        <v>1</v>
      </c>
      <c r="E38">
        <v>0</v>
      </c>
      <c r="F38">
        <v>1</v>
      </c>
      <c r="G38">
        <v>1</v>
      </c>
      <c r="H38">
        <v>0</v>
      </c>
      <c r="I38">
        <v>1</v>
      </c>
      <c r="J38">
        <v>1</v>
      </c>
      <c r="L38" s="4" t="b">
        <f t="shared" si="0"/>
        <v>1</v>
      </c>
      <c r="M38" s="4" t="b">
        <f t="shared" si="1"/>
        <v>0</v>
      </c>
      <c r="N38" s="4" t="b">
        <f t="shared" si="2"/>
        <v>0</v>
      </c>
      <c r="O38" s="4" t="b">
        <f t="shared" si="3"/>
        <v>0</v>
      </c>
      <c r="P38" s="4" t="b">
        <f t="shared" si="4"/>
        <v>1</v>
      </c>
      <c r="Q38" s="4" t="b">
        <f t="shared" si="5"/>
        <v>1</v>
      </c>
    </row>
    <row r="39" spans="2:17" ht="15" x14ac:dyDescent="0.2">
      <c r="B39">
        <v>1</v>
      </c>
      <c r="C39">
        <v>1</v>
      </c>
      <c r="D39">
        <v>1</v>
      </c>
      <c r="E39">
        <v>0</v>
      </c>
      <c r="F39">
        <v>1</v>
      </c>
      <c r="G39">
        <v>1</v>
      </c>
      <c r="H39">
        <v>0</v>
      </c>
      <c r="I39">
        <v>1</v>
      </c>
      <c r="J39">
        <v>0</v>
      </c>
      <c r="L39" s="4" t="b">
        <f t="shared" si="0"/>
        <v>1</v>
      </c>
      <c r="M39" s="4" t="b">
        <f t="shared" si="1"/>
        <v>0</v>
      </c>
      <c r="N39" s="4" t="b">
        <f t="shared" si="2"/>
        <v>0</v>
      </c>
      <c r="O39" s="4" t="b">
        <f t="shared" si="3"/>
        <v>0</v>
      </c>
      <c r="P39" s="4" t="b">
        <f t="shared" si="4"/>
        <v>1</v>
      </c>
      <c r="Q39" s="4" t="b">
        <f t="shared" si="5"/>
        <v>0</v>
      </c>
    </row>
    <row r="40" spans="2:17" ht="15" x14ac:dyDescent="0.2"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1</v>
      </c>
      <c r="L40" s="4" t="b">
        <f t="shared" si="0"/>
        <v>1</v>
      </c>
      <c r="M40" s="4" t="b">
        <f t="shared" si="1"/>
        <v>0</v>
      </c>
      <c r="N40" s="4" t="b">
        <f t="shared" si="2"/>
        <v>0</v>
      </c>
      <c r="O40" s="4" t="b">
        <f t="shared" si="3"/>
        <v>0</v>
      </c>
      <c r="P40" s="4" t="b">
        <f t="shared" si="4"/>
        <v>0</v>
      </c>
      <c r="Q40" s="4" t="b">
        <f t="shared" si="5"/>
        <v>1</v>
      </c>
    </row>
    <row r="41" spans="2:17" ht="15" x14ac:dyDescent="0.2">
      <c r="B41">
        <v>1</v>
      </c>
      <c r="C41">
        <v>1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0</v>
      </c>
      <c r="L41" s="4" t="b">
        <f t="shared" si="0"/>
        <v>1</v>
      </c>
      <c r="M41" s="4" t="b">
        <f t="shared" si="1"/>
        <v>0</v>
      </c>
      <c r="N41" s="4" t="b">
        <f t="shared" si="2"/>
        <v>0</v>
      </c>
      <c r="O41" s="4" t="b">
        <f t="shared" si="3"/>
        <v>0</v>
      </c>
      <c r="P41" s="4" t="b">
        <f t="shared" si="4"/>
        <v>0</v>
      </c>
      <c r="Q41" s="4" t="b">
        <f t="shared" si="5"/>
        <v>0</v>
      </c>
    </row>
    <row r="42" spans="2:17" ht="15" x14ac:dyDescent="0.2">
      <c r="B42">
        <v>1</v>
      </c>
      <c r="C42">
        <v>1</v>
      </c>
      <c r="D42">
        <v>1</v>
      </c>
      <c r="E42">
        <v>0</v>
      </c>
      <c r="F42">
        <v>1</v>
      </c>
      <c r="G42">
        <v>0</v>
      </c>
      <c r="H42">
        <v>1</v>
      </c>
      <c r="I42">
        <v>1</v>
      </c>
      <c r="J42">
        <v>1</v>
      </c>
      <c r="L42" s="4" t="b">
        <f t="shared" si="0"/>
        <v>1</v>
      </c>
      <c r="M42" s="4" t="b">
        <f t="shared" si="1"/>
        <v>0</v>
      </c>
      <c r="N42" s="4" t="b">
        <f t="shared" si="2"/>
        <v>1</v>
      </c>
      <c r="O42" s="4" t="b">
        <f t="shared" si="3"/>
        <v>0</v>
      </c>
      <c r="P42" s="4" t="b">
        <f t="shared" si="4"/>
        <v>1</v>
      </c>
      <c r="Q42" s="4" t="b">
        <f t="shared" si="5"/>
        <v>0</v>
      </c>
    </row>
    <row r="43" spans="2:17" ht="15" x14ac:dyDescent="0.2"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L43" s="4" t="b">
        <f t="shared" si="0"/>
        <v>1</v>
      </c>
      <c r="M43" s="4" t="b">
        <f t="shared" si="1"/>
        <v>0</v>
      </c>
      <c r="N43" s="4" t="b">
        <f t="shared" si="2"/>
        <v>0</v>
      </c>
      <c r="O43" s="4" t="b">
        <f t="shared" si="3"/>
        <v>0</v>
      </c>
      <c r="P43" s="4" t="b">
        <f t="shared" si="4"/>
        <v>1</v>
      </c>
      <c r="Q43" s="4" t="b">
        <f t="shared" si="5"/>
        <v>0</v>
      </c>
    </row>
    <row r="44" spans="2:17" ht="15" x14ac:dyDescent="0.2"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1</v>
      </c>
      <c r="I44">
        <v>0</v>
      </c>
      <c r="J44">
        <v>1</v>
      </c>
      <c r="L44" s="4" t="b">
        <f t="shared" si="0"/>
        <v>1</v>
      </c>
      <c r="M44" s="4" t="b">
        <f t="shared" si="1"/>
        <v>0</v>
      </c>
      <c r="N44" s="4" t="b">
        <f t="shared" si="2"/>
        <v>0</v>
      </c>
      <c r="O44" s="4" t="b">
        <f t="shared" si="3"/>
        <v>0</v>
      </c>
      <c r="P44" s="4" t="b">
        <f t="shared" si="4"/>
        <v>0</v>
      </c>
      <c r="Q44" s="4" t="b">
        <f t="shared" si="5"/>
        <v>0</v>
      </c>
    </row>
    <row r="45" spans="2:17" ht="15" x14ac:dyDescent="0.2"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L45" s="4" t="b">
        <f t="shared" si="0"/>
        <v>1</v>
      </c>
      <c r="M45" s="4" t="b">
        <f t="shared" si="1"/>
        <v>0</v>
      </c>
      <c r="N45" s="4" t="b">
        <f t="shared" si="2"/>
        <v>0</v>
      </c>
      <c r="O45" s="4" t="b">
        <f t="shared" si="3"/>
        <v>0</v>
      </c>
      <c r="P45" s="4" t="b">
        <f t="shared" si="4"/>
        <v>0</v>
      </c>
      <c r="Q45" s="4" t="b">
        <f t="shared" si="5"/>
        <v>0</v>
      </c>
    </row>
    <row r="46" spans="2:17" ht="15" x14ac:dyDescent="0.2">
      <c r="B46">
        <v>1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L46" s="4" t="b">
        <f t="shared" si="0"/>
        <v>1</v>
      </c>
      <c r="M46" s="4" t="b">
        <f t="shared" si="1"/>
        <v>0</v>
      </c>
      <c r="N46" s="4" t="b">
        <f t="shared" si="2"/>
        <v>0</v>
      </c>
      <c r="O46" s="4" t="b">
        <f t="shared" si="3"/>
        <v>0</v>
      </c>
      <c r="P46" s="4" t="b">
        <f t="shared" si="4"/>
        <v>1</v>
      </c>
      <c r="Q46" s="4" t="b">
        <f t="shared" si="5"/>
        <v>0</v>
      </c>
    </row>
    <row r="47" spans="2:17" ht="15" x14ac:dyDescent="0.2"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L47" s="4" t="b">
        <f t="shared" si="0"/>
        <v>1</v>
      </c>
      <c r="M47" s="4" t="b">
        <f t="shared" si="1"/>
        <v>0</v>
      </c>
      <c r="N47" s="4" t="b">
        <f t="shared" si="2"/>
        <v>0</v>
      </c>
      <c r="O47" s="4" t="b">
        <f t="shared" si="3"/>
        <v>0</v>
      </c>
      <c r="P47" s="4" t="b">
        <f t="shared" si="4"/>
        <v>1</v>
      </c>
      <c r="Q47" s="4" t="b">
        <f t="shared" si="5"/>
        <v>0</v>
      </c>
    </row>
    <row r="48" spans="2:17" ht="15" x14ac:dyDescent="0.2">
      <c r="B48">
        <v>1</v>
      </c>
      <c r="C48">
        <v>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L48" s="4" t="b">
        <f t="shared" si="0"/>
        <v>1</v>
      </c>
      <c r="M48" s="4" t="b">
        <f t="shared" si="1"/>
        <v>0</v>
      </c>
      <c r="N48" s="4" t="b">
        <f t="shared" si="2"/>
        <v>0</v>
      </c>
      <c r="O48" s="4" t="b">
        <f t="shared" si="3"/>
        <v>0</v>
      </c>
      <c r="P48" s="4" t="b">
        <f t="shared" si="4"/>
        <v>0</v>
      </c>
      <c r="Q48" s="4" t="b">
        <f t="shared" si="5"/>
        <v>0</v>
      </c>
    </row>
    <row r="49" spans="2:17" ht="15" x14ac:dyDescent="0.2">
      <c r="B49">
        <v>1</v>
      </c>
      <c r="C49">
        <v>1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L49" s="4" t="b">
        <f t="shared" si="0"/>
        <v>1</v>
      </c>
      <c r="M49" s="4" t="b">
        <f t="shared" si="1"/>
        <v>0</v>
      </c>
      <c r="N49" s="4" t="b">
        <f t="shared" si="2"/>
        <v>0</v>
      </c>
      <c r="O49" s="4" t="b">
        <f t="shared" si="3"/>
        <v>0</v>
      </c>
      <c r="P49" s="4" t="b">
        <f t="shared" si="4"/>
        <v>0</v>
      </c>
      <c r="Q49" s="4" t="b">
        <f t="shared" si="5"/>
        <v>0</v>
      </c>
    </row>
    <row r="50" spans="2:17" ht="15" x14ac:dyDescent="0.2">
      <c r="B50">
        <v>1</v>
      </c>
      <c r="C50">
        <v>1</v>
      </c>
      <c r="D50">
        <v>1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L50" s="4" t="b">
        <f t="shared" si="0"/>
        <v>1</v>
      </c>
      <c r="M50" s="4" t="b">
        <f t="shared" si="1"/>
        <v>0</v>
      </c>
      <c r="N50" s="4" t="b">
        <f t="shared" si="2"/>
        <v>1</v>
      </c>
      <c r="O50" s="4" t="b">
        <f t="shared" si="3"/>
        <v>0</v>
      </c>
      <c r="P50" s="4" t="b">
        <f t="shared" si="4"/>
        <v>0</v>
      </c>
      <c r="Q50" s="4" t="b">
        <f t="shared" si="5"/>
        <v>1</v>
      </c>
    </row>
    <row r="51" spans="2:17" ht="15" x14ac:dyDescent="0.2">
      <c r="B51">
        <v>1</v>
      </c>
      <c r="C51">
        <v>1</v>
      </c>
      <c r="D51">
        <v>1</v>
      </c>
      <c r="E51">
        <v>0</v>
      </c>
      <c r="F51">
        <v>0</v>
      </c>
      <c r="G51">
        <v>1</v>
      </c>
      <c r="H51">
        <v>1</v>
      </c>
      <c r="I51">
        <v>1</v>
      </c>
      <c r="J51">
        <v>0</v>
      </c>
      <c r="L51" s="4" t="b">
        <f t="shared" si="0"/>
        <v>1</v>
      </c>
      <c r="M51" s="4" t="b">
        <f t="shared" si="1"/>
        <v>0</v>
      </c>
      <c r="N51" s="4" t="b">
        <f t="shared" si="2"/>
        <v>0</v>
      </c>
      <c r="O51" s="4" t="b">
        <f t="shared" si="3"/>
        <v>0</v>
      </c>
      <c r="P51" s="4" t="b">
        <f t="shared" si="4"/>
        <v>0</v>
      </c>
      <c r="Q51" s="4" t="b">
        <f t="shared" si="5"/>
        <v>0</v>
      </c>
    </row>
    <row r="52" spans="2:17" ht="15" x14ac:dyDescent="0.2">
      <c r="B52">
        <v>1</v>
      </c>
      <c r="C52">
        <v>1</v>
      </c>
      <c r="D52">
        <v>1</v>
      </c>
      <c r="E52">
        <v>0</v>
      </c>
      <c r="F52">
        <v>0</v>
      </c>
      <c r="G52">
        <v>1</v>
      </c>
      <c r="H52">
        <v>1</v>
      </c>
      <c r="I52">
        <v>0</v>
      </c>
      <c r="J52">
        <v>1</v>
      </c>
      <c r="L52" s="4" t="b">
        <f t="shared" si="0"/>
        <v>1</v>
      </c>
      <c r="M52" s="4" t="b">
        <f t="shared" si="1"/>
        <v>0</v>
      </c>
      <c r="N52" s="4" t="b">
        <f t="shared" si="2"/>
        <v>0</v>
      </c>
      <c r="O52" s="4" t="b">
        <f t="shared" si="3"/>
        <v>0</v>
      </c>
      <c r="P52" s="4" t="b">
        <f t="shared" si="4"/>
        <v>0</v>
      </c>
      <c r="Q52" s="4" t="b">
        <f t="shared" si="5"/>
        <v>1</v>
      </c>
    </row>
    <row r="53" spans="2:17" ht="15" x14ac:dyDescent="0.2">
      <c r="B53">
        <v>1</v>
      </c>
      <c r="C53">
        <v>1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L53" s="4" t="b">
        <f t="shared" si="0"/>
        <v>1</v>
      </c>
      <c r="M53" s="4" t="b">
        <f t="shared" si="1"/>
        <v>0</v>
      </c>
      <c r="N53" s="4" t="b">
        <f t="shared" si="2"/>
        <v>0</v>
      </c>
      <c r="O53" s="4" t="b">
        <f t="shared" si="3"/>
        <v>0</v>
      </c>
      <c r="P53" s="4" t="b">
        <f t="shared" si="4"/>
        <v>0</v>
      </c>
      <c r="Q53" s="4" t="b">
        <f t="shared" si="5"/>
        <v>0</v>
      </c>
    </row>
    <row r="54" spans="2:17" ht="15" x14ac:dyDescent="0.2">
      <c r="B54">
        <v>1</v>
      </c>
      <c r="C54">
        <v>1</v>
      </c>
      <c r="D54">
        <v>1</v>
      </c>
      <c r="E54">
        <v>0</v>
      </c>
      <c r="F54">
        <v>0</v>
      </c>
      <c r="G54">
        <v>1</v>
      </c>
      <c r="H54">
        <v>0</v>
      </c>
      <c r="I54">
        <v>1</v>
      </c>
      <c r="J54">
        <v>1</v>
      </c>
      <c r="L54" s="4" t="b">
        <f t="shared" si="0"/>
        <v>1</v>
      </c>
      <c r="M54" s="4" t="b">
        <f t="shared" si="1"/>
        <v>0</v>
      </c>
      <c r="N54" s="4" t="b">
        <f t="shared" si="2"/>
        <v>0</v>
      </c>
      <c r="O54" s="4" t="b">
        <f t="shared" si="3"/>
        <v>0</v>
      </c>
      <c r="P54" s="4" t="b">
        <f t="shared" si="4"/>
        <v>0</v>
      </c>
      <c r="Q54" s="4" t="b">
        <f t="shared" si="5"/>
        <v>1</v>
      </c>
    </row>
    <row r="55" spans="2:17" ht="15" x14ac:dyDescent="0.2"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L55" s="4" t="b">
        <f t="shared" si="0"/>
        <v>1</v>
      </c>
      <c r="M55" s="4" t="b">
        <f t="shared" si="1"/>
        <v>0</v>
      </c>
      <c r="N55" s="4" t="b">
        <f t="shared" si="2"/>
        <v>0</v>
      </c>
      <c r="O55" s="4" t="b">
        <f t="shared" si="3"/>
        <v>0</v>
      </c>
      <c r="P55" s="4" t="b">
        <f t="shared" si="4"/>
        <v>0</v>
      </c>
      <c r="Q55" s="4" t="b">
        <f t="shared" si="5"/>
        <v>0</v>
      </c>
    </row>
    <row r="56" spans="2:17" ht="15" x14ac:dyDescent="0.2">
      <c r="B56">
        <v>1</v>
      </c>
      <c r="C56">
        <v>1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  <c r="L56" s="4" t="b">
        <f t="shared" si="0"/>
        <v>1</v>
      </c>
      <c r="M56" s="4" t="b">
        <f t="shared" si="1"/>
        <v>0</v>
      </c>
      <c r="N56" s="4" t="b">
        <f t="shared" si="2"/>
        <v>0</v>
      </c>
      <c r="O56" s="4" t="b">
        <f t="shared" si="3"/>
        <v>0</v>
      </c>
      <c r="P56" s="4" t="b">
        <f t="shared" si="4"/>
        <v>0</v>
      </c>
      <c r="Q56" s="4" t="b">
        <f t="shared" si="5"/>
        <v>1</v>
      </c>
    </row>
    <row r="57" spans="2:17" ht="15" x14ac:dyDescent="0.2">
      <c r="B57">
        <v>1</v>
      </c>
      <c r="C57">
        <v>1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L57" s="4" t="b">
        <f t="shared" si="0"/>
        <v>1</v>
      </c>
      <c r="M57" s="4" t="b">
        <f t="shared" si="1"/>
        <v>0</v>
      </c>
      <c r="N57" s="4" t="b">
        <f t="shared" si="2"/>
        <v>0</v>
      </c>
      <c r="O57" s="4" t="b">
        <f t="shared" si="3"/>
        <v>0</v>
      </c>
      <c r="P57" s="4" t="b">
        <f t="shared" si="4"/>
        <v>0</v>
      </c>
      <c r="Q57" s="4" t="b">
        <f t="shared" si="5"/>
        <v>0</v>
      </c>
    </row>
    <row r="58" spans="2:17" ht="15" x14ac:dyDescent="0.2"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1</v>
      </c>
      <c r="I58">
        <v>1</v>
      </c>
      <c r="J58">
        <v>1</v>
      </c>
      <c r="L58" s="4" t="b">
        <f t="shared" si="0"/>
        <v>1</v>
      </c>
      <c r="M58" s="4" t="b">
        <f t="shared" si="1"/>
        <v>0</v>
      </c>
      <c r="N58" s="4" t="b">
        <f t="shared" si="2"/>
        <v>1</v>
      </c>
      <c r="O58" s="4" t="b">
        <f t="shared" si="3"/>
        <v>0</v>
      </c>
      <c r="P58" s="4" t="b">
        <f t="shared" si="4"/>
        <v>0</v>
      </c>
      <c r="Q58" s="4" t="b">
        <f t="shared" si="5"/>
        <v>0</v>
      </c>
    </row>
    <row r="59" spans="2:17" ht="15" x14ac:dyDescent="0.2"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1</v>
      </c>
      <c r="I59">
        <v>1</v>
      </c>
      <c r="J59">
        <v>0</v>
      </c>
      <c r="L59" s="4" t="b">
        <f t="shared" si="0"/>
        <v>1</v>
      </c>
      <c r="M59" s="4" t="b">
        <f t="shared" si="1"/>
        <v>0</v>
      </c>
      <c r="N59" s="4" t="b">
        <f t="shared" si="2"/>
        <v>0</v>
      </c>
      <c r="O59" s="4" t="b">
        <f t="shared" si="3"/>
        <v>0</v>
      </c>
      <c r="P59" s="4" t="b">
        <f t="shared" si="4"/>
        <v>0</v>
      </c>
      <c r="Q59" s="4" t="b">
        <f t="shared" si="5"/>
        <v>0</v>
      </c>
    </row>
    <row r="60" spans="2:17" ht="15" x14ac:dyDescent="0.2">
      <c r="B60">
        <v>1</v>
      </c>
      <c r="C60">
        <v>1</v>
      </c>
      <c r="D60">
        <v>1</v>
      </c>
      <c r="E60">
        <v>0</v>
      </c>
      <c r="F60">
        <v>0</v>
      </c>
      <c r="G60">
        <v>0</v>
      </c>
      <c r="H60">
        <v>1</v>
      </c>
      <c r="I60">
        <v>0</v>
      </c>
      <c r="J60">
        <v>1</v>
      </c>
      <c r="L60" s="4" t="b">
        <f t="shared" si="0"/>
        <v>1</v>
      </c>
      <c r="M60" s="4" t="b">
        <f t="shared" si="1"/>
        <v>0</v>
      </c>
      <c r="N60" s="4" t="b">
        <f t="shared" si="2"/>
        <v>0</v>
      </c>
      <c r="O60" s="4" t="b">
        <f t="shared" si="3"/>
        <v>0</v>
      </c>
      <c r="P60" s="4" t="b">
        <f t="shared" si="4"/>
        <v>0</v>
      </c>
      <c r="Q60" s="4" t="b">
        <f t="shared" si="5"/>
        <v>0</v>
      </c>
    </row>
    <row r="61" spans="2:17" ht="15" x14ac:dyDescent="0.2">
      <c r="B61">
        <v>1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L61" s="4" t="b">
        <f t="shared" si="0"/>
        <v>1</v>
      </c>
      <c r="M61" s="4" t="b">
        <f t="shared" si="1"/>
        <v>0</v>
      </c>
      <c r="N61" s="4" t="b">
        <f t="shared" si="2"/>
        <v>0</v>
      </c>
      <c r="O61" s="4" t="b">
        <f t="shared" si="3"/>
        <v>0</v>
      </c>
      <c r="P61" s="4" t="b">
        <f t="shared" si="4"/>
        <v>0</v>
      </c>
      <c r="Q61" s="4" t="b">
        <f t="shared" si="5"/>
        <v>0</v>
      </c>
    </row>
    <row r="62" spans="2:17" ht="15" x14ac:dyDescent="0.2">
      <c r="B62">
        <v>1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L62" s="4" t="b">
        <f t="shared" si="0"/>
        <v>1</v>
      </c>
      <c r="M62" s="4" t="b">
        <f t="shared" si="1"/>
        <v>0</v>
      </c>
      <c r="N62" s="4" t="b">
        <f t="shared" si="2"/>
        <v>0</v>
      </c>
      <c r="O62" s="4" t="b">
        <f t="shared" si="3"/>
        <v>0</v>
      </c>
      <c r="P62" s="4" t="b">
        <f t="shared" si="4"/>
        <v>0</v>
      </c>
      <c r="Q62" s="4" t="b">
        <f t="shared" si="5"/>
        <v>0</v>
      </c>
    </row>
    <row r="63" spans="2:17" ht="15" x14ac:dyDescent="0.2">
      <c r="B63">
        <v>1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L63" s="4" t="b">
        <f t="shared" si="0"/>
        <v>1</v>
      </c>
      <c r="M63" s="4" t="b">
        <f t="shared" si="1"/>
        <v>0</v>
      </c>
      <c r="N63" s="4" t="b">
        <f t="shared" si="2"/>
        <v>0</v>
      </c>
      <c r="O63" s="4" t="b">
        <f t="shared" si="3"/>
        <v>0</v>
      </c>
      <c r="P63" s="4" t="b">
        <f t="shared" si="4"/>
        <v>0</v>
      </c>
      <c r="Q63" s="4" t="b">
        <f t="shared" si="5"/>
        <v>0</v>
      </c>
    </row>
    <row r="64" spans="2:17" ht="15" x14ac:dyDescent="0.2">
      <c r="B64">
        <v>1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L64" s="4" t="b">
        <f t="shared" si="0"/>
        <v>1</v>
      </c>
      <c r="M64" s="4" t="b">
        <f t="shared" si="1"/>
        <v>0</v>
      </c>
      <c r="N64" s="4" t="b">
        <f t="shared" si="2"/>
        <v>0</v>
      </c>
      <c r="O64" s="4" t="b">
        <f t="shared" si="3"/>
        <v>0</v>
      </c>
      <c r="P64" s="4" t="b">
        <f t="shared" si="4"/>
        <v>0</v>
      </c>
      <c r="Q64" s="4" t="b">
        <f t="shared" si="5"/>
        <v>0</v>
      </c>
    </row>
    <row r="65" spans="2:17" ht="15" x14ac:dyDescent="0.2"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 s="4" t="b">
        <f t="shared" si="0"/>
        <v>1</v>
      </c>
      <c r="M65" s="4" t="b">
        <f t="shared" si="1"/>
        <v>0</v>
      </c>
      <c r="N65" s="4" t="b">
        <f t="shared" si="2"/>
        <v>0</v>
      </c>
      <c r="O65" s="4" t="b">
        <f t="shared" si="3"/>
        <v>0</v>
      </c>
      <c r="P65" s="4" t="b">
        <f t="shared" si="4"/>
        <v>0</v>
      </c>
      <c r="Q65" s="4" t="b">
        <f t="shared" si="5"/>
        <v>0</v>
      </c>
    </row>
    <row r="66" spans="2:17" ht="15" x14ac:dyDescent="0.2">
      <c r="B66">
        <v>1</v>
      </c>
      <c r="C66">
        <v>1</v>
      </c>
      <c r="D66">
        <v>0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L66" s="4" t="b">
        <f t="shared" ref="L66:L129" si="6">AND($B66&gt;=$V$2,$C66&gt;=$W$2,$D66&gt;=$X$2,$E66&gt;=$Y$2,$F66&gt;=$Z$2,$G66&gt;=$AA$2,$H66&gt;=$AB$2,$I66&gt;=$AC$2,$J66&gt;=$AD$2)</f>
        <v>0</v>
      </c>
      <c r="M66" s="4" t="b">
        <f t="shared" ref="M66:M129" si="7">AND($B66&gt;=$V$3,$C66&gt;=$W$3,$D66&gt;=$X$3,$E66&gt;=$Y$3,$F66&gt;=$Z$3,$G66&gt;=$AA$3,$H66&gt;=$AB$3,$I66&gt;=$AC$3,$J66&gt;=$AD$3)</f>
        <v>1</v>
      </c>
      <c r="N66" s="4" t="b">
        <f t="shared" ref="N66:N129" si="8">AND($B66&gt;=$V$4,$C66&gt;=$W$4,$D66&gt;=$X$4,$E66&gt;=$Y$4,$F66&gt;=$Z$4,$G66&gt;=$AA$4,$H66&gt;=$AB$4,$I66&gt;=$AC$4,$J66&gt;=$AD$4)</f>
        <v>1</v>
      </c>
      <c r="O66" s="4" t="b">
        <f t="shared" ref="O66:O129" si="9">AND($B66&gt;=$V$5,$C66&gt;=$W$5,$D66&gt;=$X$5,$E66&gt;=$Y$5,$F66&gt;=$Z$5,$G66&gt;=$AA$5,$H66&gt;=$AB$5,$I66&gt;=$AC$5,$J66&gt;=$AD$5)</f>
        <v>1</v>
      </c>
      <c r="P66" s="4" t="b">
        <f t="shared" ref="P66:P129" si="10">AND($B66&gt;=$V$6,$C66&gt;=$W$6,$D66&gt;=$X$6,$E66&gt;=$Y$6,$F66&gt;=$Z$6,$G66&gt;=$AA$6,$H66&gt;=$AB$6,$I66&gt;=$AC$6,$J66&gt;=$AD$6)</f>
        <v>1</v>
      </c>
      <c r="Q66" s="4" t="b">
        <f t="shared" ref="Q66:Q129" si="11">AND($B66&gt;=$V$7,$C66&gt;=$W$7,$D66&gt;=$X$7,$E66&gt;=$Y$7,$F66&gt;=$Z$7,$G66&gt;=$AA$7,$H66&gt;=$AB$7,$I66&gt;=$AC$7,$J66&gt;=$AD$7)</f>
        <v>0</v>
      </c>
    </row>
    <row r="67" spans="2:17" ht="15" x14ac:dyDescent="0.2">
      <c r="B67">
        <v>1</v>
      </c>
      <c r="C67">
        <v>1</v>
      </c>
      <c r="D67">
        <v>0</v>
      </c>
      <c r="E67">
        <v>1</v>
      </c>
      <c r="F67">
        <v>1</v>
      </c>
      <c r="G67">
        <v>1</v>
      </c>
      <c r="H67">
        <v>1</v>
      </c>
      <c r="I67">
        <v>1</v>
      </c>
      <c r="J67">
        <v>0</v>
      </c>
      <c r="L67" s="4" t="b">
        <f t="shared" si="6"/>
        <v>0</v>
      </c>
      <c r="M67" s="4" t="b">
        <f t="shared" si="7"/>
        <v>1</v>
      </c>
      <c r="N67" s="4" t="b">
        <f t="shared" si="8"/>
        <v>0</v>
      </c>
      <c r="O67" s="4" t="b">
        <f t="shared" si="9"/>
        <v>1</v>
      </c>
      <c r="P67" s="4" t="b">
        <f t="shared" si="10"/>
        <v>1</v>
      </c>
      <c r="Q67" s="4" t="b">
        <f t="shared" si="11"/>
        <v>0</v>
      </c>
    </row>
    <row r="68" spans="2:17" ht="15" x14ac:dyDescent="0.2">
      <c r="B68">
        <v>1</v>
      </c>
      <c r="C68">
        <v>1</v>
      </c>
      <c r="D68">
        <v>0</v>
      </c>
      <c r="E68">
        <v>1</v>
      </c>
      <c r="F68">
        <v>1</v>
      </c>
      <c r="G68">
        <v>1</v>
      </c>
      <c r="H68">
        <v>1</v>
      </c>
      <c r="I68">
        <v>0</v>
      </c>
      <c r="J68">
        <v>1</v>
      </c>
      <c r="L68" s="4" t="b">
        <f t="shared" si="6"/>
        <v>0</v>
      </c>
      <c r="M68" s="4" t="b">
        <f t="shared" si="7"/>
        <v>1</v>
      </c>
      <c r="N68" s="4" t="b">
        <f t="shared" si="8"/>
        <v>0</v>
      </c>
      <c r="O68" s="4" t="b">
        <f t="shared" si="9"/>
        <v>1</v>
      </c>
      <c r="P68" s="4" t="b">
        <f t="shared" si="10"/>
        <v>0</v>
      </c>
      <c r="Q68" s="4" t="b">
        <f t="shared" si="11"/>
        <v>0</v>
      </c>
    </row>
    <row r="69" spans="2:17" ht="15" x14ac:dyDescent="0.2">
      <c r="B69">
        <v>1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L69" s="4" t="b">
        <f t="shared" si="6"/>
        <v>0</v>
      </c>
      <c r="M69" s="4" t="b">
        <f t="shared" si="7"/>
        <v>1</v>
      </c>
      <c r="N69" s="4" t="b">
        <f t="shared" si="8"/>
        <v>0</v>
      </c>
      <c r="O69" s="4" t="b">
        <f t="shared" si="9"/>
        <v>1</v>
      </c>
      <c r="P69" s="4" t="b">
        <f t="shared" si="10"/>
        <v>0</v>
      </c>
      <c r="Q69" s="4" t="b">
        <f t="shared" si="11"/>
        <v>0</v>
      </c>
    </row>
    <row r="70" spans="2:17" ht="15" x14ac:dyDescent="0.2">
      <c r="B70">
        <v>1</v>
      </c>
      <c r="C70">
        <v>1</v>
      </c>
      <c r="D70">
        <v>0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L70" s="4" t="b">
        <f t="shared" si="6"/>
        <v>0</v>
      </c>
      <c r="M70" s="4" t="b">
        <f t="shared" si="7"/>
        <v>1</v>
      </c>
      <c r="N70" s="4" t="b">
        <f t="shared" si="8"/>
        <v>0</v>
      </c>
      <c r="O70" s="4" t="b">
        <f t="shared" si="9"/>
        <v>0</v>
      </c>
      <c r="P70" s="4" t="b">
        <f t="shared" si="10"/>
        <v>1</v>
      </c>
      <c r="Q70" s="4" t="b">
        <f t="shared" si="11"/>
        <v>0</v>
      </c>
    </row>
    <row r="71" spans="2:17" ht="15" x14ac:dyDescent="0.2">
      <c r="B71">
        <v>1</v>
      </c>
      <c r="C71">
        <v>1</v>
      </c>
      <c r="D71">
        <v>0</v>
      </c>
      <c r="E71">
        <v>1</v>
      </c>
      <c r="F71">
        <v>1</v>
      </c>
      <c r="G71">
        <v>1</v>
      </c>
      <c r="H71">
        <v>0</v>
      </c>
      <c r="I71">
        <v>1</v>
      </c>
      <c r="J71">
        <v>0</v>
      </c>
      <c r="L71" s="4" t="b">
        <f t="shared" si="6"/>
        <v>0</v>
      </c>
      <c r="M71" s="4" t="b">
        <f t="shared" si="7"/>
        <v>1</v>
      </c>
      <c r="N71" s="4" t="b">
        <f t="shared" si="8"/>
        <v>0</v>
      </c>
      <c r="O71" s="4" t="b">
        <f t="shared" si="9"/>
        <v>0</v>
      </c>
      <c r="P71" s="4" t="b">
        <f t="shared" si="10"/>
        <v>1</v>
      </c>
      <c r="Q71" s="4" t="b">
        <f t="shared" si="11"/>
        <v>0</v>
      </c>
    </row>
    <row r="72" spans="2:17" ht="15" x14ac:dyDescent="0.2">
      <c r="B72">
        <v>1</v>
      </c>
      <c r="C72">
        <v>1</v>
      </c>
      <c r="D72">
        <v>0</v>
      </c>
      <c r="E72">
        <v>1</v>
      </c>
      <c r="F72">
        <v>1</v>
      </c>
      <c r="G72">
        <v>1</v>
      </c>
      <c r="H72">
        <v>0</v>
      </c>
      <c r="I72">
        <v>0</v>
      </c>
      <c r="J72">
        <v>1</v>
      </c>
      <c r="L72" s="4" t="b">
        <f t="shared" si="6"/>
        <v>0</v>
      </c>
      <c r="M72" s="4" t="b">
        <f t="shared" si="7"/>
        <v>1</v>
      </c>
      <c r="N72" s="4" t="b">
        <f t="shared" si="8"/>
        <v>0</v>
      </c>
      <c r="O72" s="4" t="b">
        <f t="shared" si="9"/>
        <v>0</v>
      </c>
      <c r="P72" s="4" t="b">
        <f t="shared" si="10"/>
        <v>0</v>
      </c>
      <c r="Q72" s="4" t="b">
        <f t="shared" si="11"/>
        <v>0</v>
      </c>
    </row>
    <row r="73" spans="2:17" ht="15" x14ac:dyDescent="0.2">
      <c r="B73">
        <v>1</v>
      </c>
      <c r="C73">
        <v>1</v>
      </c>
      <c r="D73">
        <v>0</v>
      </c>
      <c r="E73">
        <v>1</v>
      </c>
      <c r="F73">
        <v>1</v>
      </c>
      <c r="G73">
        <v>1</v>
      </c>
      <c r="H73">
        <v>0</v>
      </c>
      <c r="I73">
        <v>0</v>
      </c>
      <c r="J73">
        <v>0</v>
      </c>
      <c r="L73" s="4" t="b">
        <f t="shared" si="6"/>
        <v>0</v>
      </c>
      <c r="M73" s="4" t="b">
        <f t="shared" si="7"/>
        <v>1</v>
      </c>
      <c r="N73" s="4" t="b">
        <f t="shared" si="8"/>
        <v>0</v>
      </c>
      <c r="O73" s="4" t="b">
        <f t="shared" si="9"/>
        <v>0</v>
      </c>
      <c r="P73" s="4" t="b">
        <f t="shared" si="10"/>
        <v>0</v>
      </c>
      <c r="Q73" s="4" t="b">
        <f t="shared" si="11"/>
        <v>0</v>
      </c>
    </row>
    <row r="74" spans="2:17" ht="15" x14ac:dyDescent="0.2">
      <c r="B74">
        <v>1</v>
      </c>
      <c r="C74">
        <v>1</v>
      </c>
      <c r="D74">
        <v>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L74" s="4" t="b">
        <f t="shared" si="6"/>
        <v>0</v>
      </c>
      <c r="M74" s="4" t="b">
        <f t="shared" si="7"/>
        <v>0</v>
      </c>
      <c r="N74" s="4" t="b">
        <f t="shared" si="8"/>
        <v>1</v>
      </c>
      <c r="O74" s="4" t="b">
        <f t="shared" si="9"/>
        <v>1</v>
      </c>
      <c r="P74" s="4" t="b">
        <f t="shared" si="10"/>
        <v>1</v>
      </c>
      <c r="Q74" s="4" t="b">
        <f t="shared" si="11"/>
        <v>0</v>
      </c>
    </row>
    <row r="75" spans="2:17" ht="15" x14ac:dyDescent="0.2">
      <c r="B75">
        <v>1</v>
      </c>
      <c r="C75">
        <v>1</v>
      </c>
      <c r="D75">
        <v>0</v>
      </c>
      <c r="E75">
        <v>1</v>
      </c>
      <c r="F75">
        <v>1</v>
      </c>
      <c r="G75">
        <v>0</v>
      </c>
      <c r="H75">
        <v>1</v>
      </c>
      <c r="I75">
        <v>1</v>
      </c>
      <c r="J75">
        <v>0</v>
      </c>
      <c r="L75" s="4" t="b">
        <f t="shared" si="6"/>
        <v>0</v>
      </c>
      <c r="M75" s="4" t="b">
        <f t="shared" si="7"/>
        <v>0</v>
      </c>
      <c r="N75" s="4" t="b">
        <f t="shared" si="8"/>
        <v>0</v>
      </c>
      <c r="O75" s="4" t="b">
        <f t="shared" si="9"/>
        <v>1</v>
      </c>
      <c r="P75" s="4" t="b">
        <f t="shared" si="10"/>
        <v>1</v>
      </c>
      <c r="Q75" s="4" t="b">
        <f t="shared" si="11"/>
        <v>0</v>
      </c>
    </row>
    <row r="76" spans="2:17" ht="15" x14ac:dyDescent="0.2">
      <c r="B76">
        <v>1</v>
      </c>
      <c r="C76">
        <v>1</v>
      </c>
      <c r="D76">
        <v>0</v>
      </c>
      <c r="E76">
        <v>1</v>
      </c>
      <c r="F76">
        <v>1</v>
      </c>
      <c r="G76">
        <v>0</v>
      </c>
      <c r="H76">
        <v>1</v>
      </c>
      <c r="I76">
        <v>0</v>
      </c>
      <c r="J76">
        <v>1</v>
      </c>
      <c r="L76" s="4" t="b">
        <f t="shared" si="6"/>
        <v>0</v>
      </c>
      <c r="M76" s="4" t="b">
        <f t="shared" si="7"/>
        <v>0</v>
      </c>
      <c r="N76" s="4" t="b">
        <f t="shared" si="8"/>
        <v>0</v>
      </c>
      <c r="O76" s="4" t="b">
        <f t="shared" si="9"/>
        <v>1</v>
      </c>
      <c r="P76" s="4" t="b">
        <f t="shared" si="10"/>
        <v>0</v>
      </c>
      <c r="Q76" s="4" t="b">
        <f t="shared" si="11"/>
        <v>0</v>
      </c>
    </row>
    <row r="77" spans="2:17" ht="15" x14ac:dyDescent="0.2"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L77" s="4" t="b">
        <f t="shared" si="6"/>
        <v>0</v>
      </c>
      <c r="M77" s="4" t="b">
        <f t="shared" si="7"/>
        <v>0</v>
      </c>
      <c r="N77" s="4" t="b">
        <f t="shared" si="8"/>
        <v>0</v>
      </c>
      <c r="O77" s="4" t="b">
        <f t="shared" si="9"/>
        <v>1</v>
      </c>
      <c r="P77" s="4" t="b">
        <f t="shared" si="10"/>
        <v>0</v>
      </c>
      <c r="Q77" s="4" t="b">
        <f t="shared" si="11"/>
        <v>0</v>
      </c>
    </row>
    <row r="78" spans="2:17" ht="15" x14ac:dyDescent="0.2"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L78" s="4" t="b">
        <f t="shared" si="6"/>
        <v>0</v>
      </c>
      <c r="M78" s="4" t="b">
        <f t="shared" si="7"/>
        <v>0</v>
      </c>
      <c r="N78" s="4" t="b">
        <f t="shared" si="8"/>
        <v>0</v>
      </c>
      <c r="O78" s="4" t="b">
        <f t="shared" si="9"/>
        <v>0</v>
      </c>
      <c r="P78" s="4" t="b">
        <f t="shared" si="10"/>
        <v>1</v>
      </c>
      <c r="Q78" s="4" t="b">
        <f t="shared" si="11"/>
        <v>0</v>
      </c>
    </row>
    <row r="79" spans="2:17" ht="15" x14ac:dyDescent="0.2">
      <c r="B79">
        <v>1</v>
      </c>
      <c r="C79">
        <v>1</v>
      </c>
      <c r="D79">
        <v>0</v>
      </c>
      <c r="E79">
        <v>1</v>
      </c>
      <c r="F79">
        <v>1</v>
      </c>
      <c r="G79">
        <v>0</v>
      </c>
      <c r="H79">
        <v>0</v>
      </c>
      <c r="I79">
        <v>1</v>
      </c>
      <c r="J79">
        <v>0</v>
      </c>
      <c r="L79" s="4" t="b">
        <f t="shared" si="6"/>
        <v>0</v>
      </c>
      <c r="M79" s="4" t="b">
        <f t="shared" si="7"/>
        <v>0</v>
      </c>
      <c r="N79" s="4" t="b">
        <f t="shared" si="8"/>
        <v>0</v>
      </c>
      <c r="O79" s="4" t="b">
        <f t="shared" si="9"/>
        <v>0</v>
      </c>
      <c r="P79" s="4" t="b">
        <f t="shared" si="10"/>
        <v>1</v>
      </c>
      <c r="Q79" s="4" t="b">
        <f t="shared" si="11"/>
        <v>0</v>
      </c>
    </row>
    <row r="80" spans="2:17" ht="15" x14ac:dyDescent="0.2">
      <c r="B80">
        <v>1</v>
      </c>
      <c r="C80">
        <v>1</v>
      </c>
      <c r="D80">
        <v>0</v>
      </c>
      <c r="E80">
        <v>1</v>
      </c>
      <c r="F80">
        <v>1</v>
      </c>
      <c r="G80">
        <v>0</v>
      </c>
      <c r="H80">
        <v>0</v>
      </c>
      <c r="I80">
        <v>0</v>
      </c>
      <c r="J80">
        <v>1</v>
      </c>
      <c r="L80" s="4" t="b">
        <f t="shared" si="6"/>
        <v>0</v>
      </c>
      <c r="M80" s="4" t="b">
        <f t="shared" si="7"/>
        <v>0</v>
      </c>
      <c r="N80" s="4" t="b">
        <f t="shared" si="8"/>
        <v>0</v>
      </c>
      <c r="O80" s="4" t="b">
        <f t="shared" si="9"/>
        <v>0</v>
      </c>
      <c r="P80" s="4" t="b">
        <f t="shared" si="10"/>
        <v>0</v>
      </c>
      <c r="Q80" s="4" t="b">
        <f t="shared" si="11"/>
        <v>0</v>
      </c>
    </row>
    <row r="81" spans="2:17" ht="15" x14ac:dyDescent="0.2">
      <c r="B81">
        <v>1</v>
      </c>
      <c r="C81">
        <v>1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L81" s="4" t="b">
        <f t="shared" si="6"/>
        <v>0</v>
      </c>
      <c r="M81" s="4" t="b">
        <f t="shared" si="7"/>
        <v>0</v>
      </c>
      <c r="N81" s="4" t="b">
        <f t="shared" si="8"/>
        <v>0</v>
      </c>
      <c r="O81" s="4" t="b">
        <f t="shared" si="9"/>
        <v>0</v>
      </c>
      <c r="P81" s="4" t="b">
        <f t="shared" si="10"/>
        <v>0</v>
      </c>
      <c r="Q81" s="4" t="b">
        <f t="shared" si="11"/>
        <v>0</v>
      </c>
    </row>
    <row r="82" spans="2:17" ht="15" x14ac:dyDescent="0.2"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1</v>
      </c>
      <c r="I82">
        <v>1</v>
      </c>
      <c r="J82">
        <v>1</v>
      </c>
      <c r="L82" s="4" t="b">
        <f t="shared" si="6"/>
        <v>0</v>
      </c>
      <c r="M82" s="4" t="b">
        <f t="shared" si="7"/>
        <v>0</v>
      </c>
      <c r="N82" s="4" t="b">
        <f t="shared" si="8"/>
        <v>1</v>
      </c>
      <c r="O82" s="4" t="b">
        <f t="shared" si="9"/>
        <v>1</v>
      </c>
      <c r="P82" s="4" t="b">
        <f t="shared" si="10"/>
        <v>0</v>
      </c>
      <c r="Q82" s="4" t="b">
        <f t="shared" si="11"/>
        <v>0</v>
      </c>
    </row>
    <row r="83" spans="2:17" ht="15" x14ac:dyDescent="0.2">
      <c r="B83">
        <v>1</v>
      </c>
      <c r="C83">
        <v>1</v>
      </c>
      <c r="D83">
        <v>0</v>
      </c>
      <c r="E83">
        <v>1</v>
      </c>
      <c r="F83">
        <v>0</v>
      </c>
      <c r="G83">
        <v>1</v>
      </c>
      <c r="H83">
        <v>1</v>
      </c>
      <c r="I83">
        <v>1</v>
      </c>
      <c r="J83">
        <v>0</v>
      </c>
      <c r="L83" s="4" t="b">
        <f t="shared" si="6"/>
        <v>0</v>
      </c>
      <c r="M83" s="4" t="b">
        <f t="shared" si="7"/>
        <v>0</v>
      </c>
      <c r="N83" s="4" t="b">
        <f t="shared" si="8"/>
        <v>0</v>
      </c>
      <c r="O83" s="4" t="b">
        <f t="shared" si="9"/>
        <v>1</v>
      </c>
      <c r="P83" s="4" t="b">
        <f t="shared" si="10"/>
        <v>0</v>
      </c>
      <c r="Q83" s="4" t="b">
        <f t="shared" si="11"/>
        <v>0</v>
      </c>
    </row>
    <row r="84" spans="2:17" ht="15" x14ac:dyDescent="0.2">
      <c r="B84">
        <v>1</v>
      </c>
      <c r="C84">
        <v>1</v>
      </c>
      <c r="D84">
        <v>0</v>
      </c>
      <c r="E84">
        <v>1</v>
      </c>
      <c r="F84">
        <v>0</v>
      </c>
      <c r="G84">
        <v>1</v>
      </c>
      <c r="H84">
        <v>1</v>
      </c>
      <c r="I84">
        <v>0</v>
      </c>
      <c r="J84">
        <v>1</v>
      </c>
      <c r="L84" s="4" t="b">
        <f t="shared" si="6"/>
        <v>0</v>
      </c>
      <c r="M84" s="4" t="b">
        <f t="shared" si="7"/>
        <v>0</v>
      </c>
      <c r="N84" s="4" t="b">
        <f t="shared" si="8"/>
        <v>0</v>
      </c>
      <c r="O84" s="4" t="b">
        <f t="shared" si="9"/>
        <v>1</v>
      </c>
      <c r="P84" s="4" t="b">
        <f t="shared" si="10"/>
        <v>0</v>
      </c>
      <c r="Q84" s="4" t="b">
        <f t="shared" si="11"/>
        <v>0</v>
      </c>
    </row>
    <row r="85" spans="2:17" ht="15" x14ac:dyDescent="0.2">
      <c r="B85">
        <v>1</v>
      </c>
      <c r="C85">
        <v>1</v>
      </c>
      <c r="D85">
        <v>0</v>
      </c>
      <c r="E85">
        <v>1</v>
      </c>
      <c r="F85">
        <v>0</v>
      </c>
      <c r="G85">
        <v>1</v>
      </c>
      <c r="H85">
        <v>1</v>
      </c>
      <c r="I85">
        <v>0</v>
      </c>
      <c r="J85">
        <v>0</v>
      </c>
      <c r="L85" s="4" t="b">
        <f t="shared" si="6"/>
        <v>0</v>
      </c>
      <c r="M85" s="4" t="b">
        <f t="shared" si="7"/>
        <v>0</v>
      </c>
      <c r="N85" s="4" t="b">
        <f t="shared" si="8"/>
        <v>0</v>
      </c>
      <c r="O85" s="4" t="b">
        <f t="shared" si="9"/>
        <v>1</v>
      </c>
      <c r="P85" s="4" t="b">
        <f t="shared" si="10"/>
        <v>0</v>
      </c>
      <c r="Q85" s="4" t="b">
        <f t="shared" si="11"/>
        <v>0</v>
      </c>
    </row>
    <row r="86" spans="2:17" ht="15" x14ac:dyDescent="0.2">
      <c r="B86">
        <v>1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L86" s="4" t="b">
        <f t="shared" si="6"/>
        <v>0</v>
      </c>
      <c r="M86" s="4" t="b">
        <f t="shared" si="7"/>
        <v>0</v>
      </c>
      <c r="N86" s="4" t="b">
        <f t="shared" si="8"/>
        <v>0</v>
      </c>
      <c r="O86" s="4" t="b">
        <f t="shared" si="9"/>
        <v>0</v>
      </c>
      <c r="P86" s="4" t="b">
        <f t="shared" si="10"/>
        <v>0</v>
      </c>
      <c r="Q86" s="4" t="b">
        <f t="shared" si="11"/>
        <v>0</v>
      </c>
    </row>
    <row r="87" spans="2:17" ht="15" x14ac:dyDescent="0.2">
      <c r="B87">
        <v>1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  <c r="J87">
        <v>0</v>
      </c>
      <c r="L87" s="4" t="b">
        <f t="shared" si="6"/>
        <v>0</v>
      </c>
      <c r="M87" s="4" t="b">
        <f t="shared" si="7"/>
        <v>0</v>
      </c>
      <c r="N87" s="4" t="b">
        <f t="shared" si="8"/>
        <v>0</v>
      </c>
      <c r="O87" s="4" t="b">
        <f t="shared" si="9"/>
        <v>0</v>
      </c>
      <c r="P87" s="4" t="b">
        <f t="shared" si="10"/>
        <v>0</v>
      </c>
      <c r="Q87" s="4" t="b">
        <f t="shared" si="11"/>
        <v>0</v>
      </c>
    </row>
    <row r="88" spans="2:17" ht="15" x14ac:dyDescent="0.2">
      <c r="B88">
        <v>1</v>
      </c>
      <c r="C88">
        <v>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  <c r="J88">
        <v>1</v>
      </c>
      <c r="L88" s="4" t="b">
        <f t="shared" si="6"/>
        <v>0</v>
      </c>
      <c r="M88" s="4" t="b">
        <f t="shared" si="7"/>
        <v>0</v>
      </c>
      <c r="N88" s="4" t="b">
        <f t="shared" si="8"/>
        <v>0</v>
      </c>
      <c r="O88" s="4" t="b">
        <f t="shared" si="9"/>
        <v>0</v>
      </c>
      <c r="P88" s="4" t="b">
        <f t="shared" si="10"/>
        <v>0</v>
      </c>
      <c r="Q88" s="4" t="b">
        <f t="shared" si="11"/>
        <v>0</v>
      </c>
    </row>
    <row r="89" spans="2:17" ht="15" x14ac:dyDescent="0.2">
      <c r="B89">
        <v>1</v>
      </c>
      <c r="C89">
        <v>1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  <c r="J89">
        <v>0</v>
      </c>
      <c r="L89" s="4" t="b">
        <f t="shared" si="6"/>
        <v>0</v>
      </c>
      <c r="M89" s="4" t="b">
        <f t="shared" si="7"/>
        <v>0</v>
      </c>
      <c r="N89" s="4" t="b">
        <f t="shared" si="8"/>
        <v>0</v>
      </c>
      <c r="O89" s="4" t="b">
        <f t="shared" si="9"/>
        <v>0</v>
      </c>
      <c r="P89" s="4" t="b">
        <f t="shared" si="10"/>
        <v>0</v>
      </c>
      <c r="Q89" s="4" t="b">
        <f t="shared" si="11"/>
        <v>0</v>
      </c>
    </row>
    <row r="90" spans="2:17" ht="15" x14ac:dyDescent="0.2">
      <c r="B90">
        <v>1</v>
      </c>
      <c r="C90">
        <v>1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1</v>
      </c>
      <c r="L90" s="4" t="b">
        <f t="shared" si="6"/>
        <v>0</v>
      </c>
      <c r="M90" s="4" t="b">
        <f t="shared" si="7"/>
        <v>0</v>
      </c>
      <c r="N90" s="4" t="b">
        <f t="shared" si="8"/>
        <v>1</v>
      </c>
      <c r="O90" s="4" t="b">
        <f t="shared" si="9"/>
        <v>1</v>
      </c>
      <c r="P90" s="4" t="b">
        <f t="shared" si="10"/>
        <v>0</v>
      </c>
      <c r="Q90" s="4" t="b">
        <f t="shared" si="11"/>
        <v>0</v>
      </c>
    </row>
    <row r="91" spans="2:17" ht="15" x14ac:dyDescent="0.2">
      <c r="B91">
        <v>1</v>
      </c>
      <c r="C91">
        <v>1</v>
      </c>
      <c r="D91">
        <v>0</v>
      </c>
      <c r="E91">
        <v>1</v>
      </c>
      <c r="F91">
        <v>0</v>
      </c>
      <c r="G91">
        <v>0</v>
      </c>
      <c r="H91">
        <v>1</v>
      </c>
      <c r="I91">
        <v>1</v>
      </c>
      <c r="J91">
        <v>0</v>
      </c>
      <c r="L91" s="4" t="b">
        <f t="shared" si="6"/>
        <v>0</v>
      </c>
      <c r="M91" s="4" t="b">
        <f t="shared" si="7"/>
        <v>0</v>
      </c>
      <c r="N91" s="4" t="b">
        <f t="shared" si="8"/>
        <v>0</v>
      </c>
      <c r="O91" s="4" t="b">
        <f t="shared" si="9"/>
        <v>1</v>
      </c>
      <c r="P91" s="4" t="b">
        <f t="shared" si="10"/>
        <v>0</v>
      </c>
      <c r="Q91" s="4" t="b">
        <f t="shared" si="11"/>
        <v>0</v>
      </c>
    </row>
    <row r="92" spans="2:17" ht="15" x14ac:dyDescent="0.2">
      <c r="B92">
        <v>1</v>
      </c>
      <c r="C92">
        <v>1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1</v>
      </c>
      <c r="L92" s="4" t="b">
        <f t="shared" si="6"/>
        <v>0</v>
      </c>
      <c r="M92" s="4" t="b">
        <f t="shared" si="7"/>
        <v>0</v>
      </c>
      <c r="N92" s="4" t="b">
        <f t="shared" si="8"/>
        <v>0</v>
      </c>
      <c r="O92" s="4" t="b">
        <f t="shared" si="9"/>
        <v>1</v>
      </c>
      <c r="P92" s="4" t="b">
        <f t="shared" si="10"/>
        <v>0</v>
      </c>
      <c r="Q92" s="4" t="b">
        <f t="shared" si="11"/>
        <v>0</v>
      </c>
    </row>
    <row r="93" spans="2:17" ht="15" x14ac:dyDescent="0.2">
      <c r="B93">
        <v>1</v>
      </c>
      <c r="C93">
        <v>1</v>
      </c>
      <c r="D93">
        <v>0</v>
      </c>
      <c r="E93">
        <v>1</v>
      </c>
      <c r="F93">
        <v>0</v>
      </c>
      <c r="G93">
        <v>0</v>
      </c>
      <c r="H93">
        <v>1</v>
      </c>
      <c r="I93">
        <v>0</v>
      </c>
      <c r="J93">
        <v>0</v>
      </c>
      <c r="L93" s="4" t="b">
        <f t="shared" si="6"/>
        <v>0</v>
      </c>
      <c r="M93" s="4" t="b">
        <f t="shared" si="7"/>
        <v>0</v>
      </c>
      <c r="N93" s="4" t="b">
        <f t="shared" si="8"/>
        <v>0</v>
      </c>
      <c r="O93" s="4" t="b">
        <f t="shared" si="9"/>
        <v>1</v>
      </c>
      <c r="P93" s="4" t="b">
        <f t="shared" si="10"/>
        <v>0</v>
      </c>
      <c r="Q93" s="4" t="b">
        <f t="shared" si="11"/>
        <v>0</v>
      </c>
    </row>
    <row r="94" spans="2:17" ht="15" x14ac:dyDescent="0.2">
      <c r="B94">
        <v>1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1</v>
      </c>
      <c r="L94" s="4" t="b">
        <f t="shared" si="6"/>
        <v>0</v>
      </c>
      <c r="M94" s="4" t="b">
        <f t="shared" si="7"/>
        <v>0</v>
      </c>
      <c r="N94" s="4" t="b">
        <f t="shared" si="8"/>
        <v>0</v>
      </c>
      <c r="O94" s="4" t="b">
        <f t="shared" si="9"/>
        <v>0</v>
      </c>
      <c r="P94" s="4" t="b">
        <f t="shared" si="10"/>
        <v>0</v>
      </c>
      <c r="Q94" s="4" t="b">
        <f t="shared" si="11"/>
        <v>0</v>
      </c>
    </row>
    <row r="95" spans="2:17" ht="15" x14ac:dyDescent="0.2">
      <c r="B95">
        <v>1</v>
      </c>
      <c r="C95">
        <v>1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L95" s="4" t="b">
        <f t="shared" si="6"/>
        <v>0</v>
      </c>
      <c r="M95" s="4" t="b">
        <f t="shared" si="7"/>
        <v>0</v>
      </c>
      <c r="N95" s="4" t="b">
        <f t="shared" si="8"/>
        <v>0</v>
      </c>
      <c r="O95" s="4" t="b">
        <f t="shared" si="9"/>
        <v>0</v>
      </c>
      <c r="P95" s="4" t="b">
        <f t="shared" si="10"/>
        <v>0</v>
      </c>
      <c r="Q95" s="4" t="b">
        <f t="shared" si="11"/>
        <v>0</v>
      </c>
    </row>
    <row r="96" spans="2:17" ht="15" x14ac:dyDescent="0.2">
      <c r="B96">
        <v>1</v>
      </c>
      <c r="C96">
        <v>1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L96" s="4" t="b">
        <f t="shared" si="6"/>
        <v>0</v>
      </c>
      <c r="M96" s="4" t="b">
        <f t="shared" si="7"/>
        <v>0</v>
      </c>
      <c r="N96" s="4" t="b">
        <f t="shared" si="8"/>
        <v>0</v>
      </c>
      <c r="O96" s="4" t="b">
        <f t="shared" si="9"/>
        <v>0</v>
      </c>
      <c r="P96" s="4" t="b">
        <f t="shared" si="10"/>
        <v>0</v>
      </c>
      <c r="Q96" s="4" t="b">
        <f t="shared" si="11"/>
        <v>0</v>
      </c>
    </row>
    <row r="97" spans="2:17" ht="15" x14ac:dyDescent="0.2">
      <c r="B97">
        <v>1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L97" s="4" t="b">
        <f t="shared" si="6"/>
        <v>0</v>
      </c>
      <c r="M97" s="4" t="b">
        <f t="shared" si="7"/>
        <v>0</v>
      </c>
      <c r="N97" s="4" t="b">
        <f t="shared" si="8"/>
        <v>0</v>
      </c>
      <c r="O97" s="4" t="b">
        <f t="shared" si="9"/>
        <v>0</v>
      </c>
      <c r="P97" s="4" t="b">
        <f t="shared" si="10"/>
        <v>0</v>
      </c>
      <c r="Q97" s="4" t="b">
        <f t="shared" si="11"/>
        <v>0</v>
      </c>
    </row>
    <row r="98" spans="2:17" ht="15" x14ac:dyDescent="0.2">
      <c r="B98">
        <v>1</v>
      </c>
      <c r="C98">
        <v>1</v>
      </c>
      <c r="D98">
        <v>0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L98" s="4" t="b">
        <f t="shared" si="6"/>
        <v>0</v>
      </c>
      <c r="M98" s="4" t="b">
        <f t="shared" si="7"/>
        <v>0</v>
      </c>
      <c r="N98" s="4" t="b">
        <f t="shared" si="8"/>
        <v>1</v>
      </c>
      <c r="O98" s="4" t="b">
        <f t="shared" si="9"/>
        <v>0</v>
      </c>
      <c r="P98" s="4" t="b">
        <f t="shared" si="10"/>
        <v>1</v>
      </c>
      <c r="Q98" s="4" t="b">
        <f t="shared" si="11"/>
        <v>0</v>
      </c>
    </row>
    <row r="99" spans="2:17" ht="15" x14ac:dyDescent="0.2">
      <c r="B99">
        <v>1</v>
      </c>
      <c r="C99">
        <v>1</v>
      </c>
      <c r="D99">
        <v>0</v>
      </c>
      <c r="E99">
        <v>0</v>
      </c>
      <c r="F99">
        <v>1</v>
      </c>
      <c r="G99">
        <v>1</v>
      </c>
      <c r="H99">
        <v>1</v>
      </c>
      <c r="I99">
        <v>1</v>
      </c>
      <c r="J99">
        <v>0</v>
      </c>
      <c r="L99" s="4" t="b">
        <f t="shared" si="6"/>
        <v>0</v>
      </c>
      <c r="M99" s="4" t="b">
        <f t="shared" si="7"/>
        <v>0</v>
      </c>
      <c r="N99" s="4" t="b">
        <f t="shared" si="8"/>
        <v>0</v>
      </c>
      <c r="O99" s="4" t="b">
        <f t="shared" si="9"/>
        <v>0</v>
      </c>
      <c r="P99" s="4" t="b">
        <f t="shared" si="10"/>
        <v>1</v>
      </c>
      <c r="Q99" s="4" t="b">
        <f t="shared" si="11"/>
        <v>0</v>
      </c>
    </row>
    <row r="100" spans="2:17" ht="15" x14ac:dyDescent="0.2">
      <c r="B100">
        <v>1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L100" s="4" t="b">
        <f t="shared" si="6"/>
        <v>0</v>
      </c>
      <c r="M100" s="4" t="b">
        <f t="shared" si="7"/>
        <v>0</v>
      </c>
      <c r="N100" s="4" t="b">
        <f t="shared" si="8"/>
        <v>0</v>
      </c>
      <c r="O100" s="4" t="b">
        <f t="shared" si="9"/>
        <v>0</v>
      </c>
      <c r="P100" s="4" t="b">
        <f t="shared" si="10"/>
        <v>0</v>
      </c>
      <c r="Q100" s="4" t="b">
        <f t="shared" si="11"/>
        <v>0</v>
      </c>
    </row>
    <row r="101" spans="2:17" ht="15" x14ac:dyDescent="0.2">
      <c r="B101">
        <v>1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1</v>
      </c>
      <c r="I101">
        <v>0</v>
      </c>
      <c r="J101">
        <v>0</v>
      </c>
      <c r="L101" s="4" t="b">
        <f t="shared" si="6"/>
        <v>0</v>
      </c>
      <c r="M101" s="4" t="b">
        <f t="shared" si="7"/>
        <v>0</v>
      </c>
      <c r="N101" s="4" t="b">
        <f t="shared" si="8"/>
        <v>0</v>
      </c>
      <c r="O101" s="4" t="b">
        <f t="shared" si="9"/>
        <v>0</v>
      </c>
      <c r="P101" s="4" t="b">
        <f t="shared" si="10"/>
        <v>0</v>
      </c>
      <c r="Q101" s="4" t="b">
        <f t="shared" si="11"/>
        <v>0</v>
      </c>
    </row>
    <row r="102" spans="2:17" ht="15" x14ac:dyDescent="0.2">
      <c r="B102">
        <v>1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1</v>
      </c>
      <c r="J102">
        <v>1</v>
      </c>
      <c r="L102" s="4" t="b">
        <f t="shared" si="6"/>
        <v>0</v>
      </c>
      <c r="M102" s="4" t="b">
        <f t="shared" si="7"/>
        <v>0</v>
      </c>
      <c r="N102" s="4" t="b">
        <f t="shared" si="8"/>
        <v>0</v>
      </c>
      <c r="O102" s="4" t="b">
        <f t="shared" si="9"/>
        <v>0</v>
      </c>
      <c r="P102" s="4" t="b">
        <f t="shared" si="10"/>
        <v>1</v>
      </c>
      <c r="Q102" s="4" t="b">
        <f t="shared" si="11"/>
        <v>0</v>
      </c>
    </row>
    <row r="103" spans="2:17" ht="15" x14ac:dyDescent="0.2">
      <c r="B103">
        <v>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1</v>
      </c>
      <c r="J103">
        <v>0</v>
      </c>
      <c r="L103" s="4" t="b">
        <f t="shared" si="6"/>
        <v>0</v>
      </c>
      <c r="M103" s="4" t="b">
        <f t="shared" si="7"/>
        <v>0</v>
      </c>
      <c r="N103" s="4" t="b">
        <f t="shared" si="8"/>
        <v>0</v>
      </c>
      <c r="O103" s="4" t="b">
        <f t="shared" si="9"/>
        <v>0</v>
      </c>
      <c r="P103" s="4" t="b">
        <f t="shared" si="10"/>
        <v>1</v>
      </c>
      <c r="Q103" s="4" t="b">
        <f t="shared" si="11"/>
        <v>0</v>
      </c>
    </row>
    <row r="104" spans="2:17" ht="15" x14ac:dyDescent="0.2">
      <c r="B104">
        <v>1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1</v>
      </c>
      <c r="L104" s="4" t="b">
        <f t="shared" si="6"/>
        <v>0</v>
      </c>
      <c r="M104" s="4" t="b">
        <f t="shared" si="7"/>
        <v>0</v>
      </c>
      <c r="N104" s="4" t="b">
        <f t="shared" si="8"/>
        <v>0</v>
      </c>
      <c r="O104" s="4" t="b">
        <f t="shared" si="9"/>
        <v>0</v>
      </c>
      <c r="P104" s="4" t="b">
        <f t="shared" si="10"/>
        <v>0</v>
      </c>
      <c r="Q104" s="4" t="b">
        <f t="shared" si="11"/>
        <v>0</v>
      </c>
    </row>
    <row r="105" spans="2:17" ht="15" x14ac:dyDescent="0.2">
      <c r="B105">
        <v>1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L105" s="4" t="b">
        <f t="shared" si="6"/>
        <v>0</v>
      </c>
      <c r="M105" s="4" t="b">
        <f t="shared" si="7"/>
        <v>0</v>
      </c>
      <c r="N105" s="4" t="b">
        <f t="shared" si="8"/>
        <v>0</v>
      </c>
      <c r="O105" s="4" t="b">
        <f t="shared" si="9"/>
        <v>0</v>
      </c>
      <c r="P105" s="4" t="b">
        <f t="shared" si="10"/>
        <v>0</v>
      </c>
      <c r="Q105" s="4" t="b">
        <f t="shared" si="11"/>
        <v>0</v>
      </c>
    </row>
    <row r="106" spans="2:17" ht="15" x14ac:dyDescent="0.2">
      <c r="B106">
        <v>1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</v>
      </c>
      <c r="J106">
        <v>1</v>
      </c>
      <c r="L106" s="4" t="b">
        <f t="shared" si="6"/>
        <v>0</v>
      </c>
      <c r="M106" s="4" t="b">
        <f t="shared" si="7"/>
        <v>0</v>
      </c>
      <c r="N106" s="4" t="b">
        <f t="shared" si="8"/>
        <v>1</v>
      </c>
      <c r="O106" s="4" t="b">
        <f t="shared" si="9"/>
        <v>0</v>
      </c>
      <c r="P106" s="4" t="b">
        <f t="shared" si="10"/>
        <v>1</v>
      </c>
      <c r="Q106" s="4" t="b">
        <f t="shared" si="11"/>
        <v>0</v>
      </c>
    </row>
    <row r="107" spans="2:17" ht="15" x14ac:dyDescent="0.2">
      <c r="B107">
        <v>1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0</v>
      </c>
      <c r="L107" s="4" t="b">
        <f t="shared" si="6"/>
        <v>0</v>
      </c>
      <c r="M107" s="4" t="b">
        <f t="shared" si="7"/>
        <v>0</v>
      </c>
      <c r="N107" s="4" t="b">
        <f t="shared" si="8"/>
        <v>0</v>
      </c>
      <c r="O107" s="4" t="b">
        <f t="shared" si="9"/>
        <v>0</v>
      </c>
      <c r="P107" s="4" t="b">
        <f t="shared" si="10"/>
        <v>1</v>
      </c>
      <c r="Q107" s="4" t="b">
        <f t="shared" si="11"/>
        <v>0</v>
      </c>
    </row>
    <row r="108" spans="2:17" ht="15" x14ac:dyDescent="0.2">
      <c r="B108">
        <v>1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1</v>
      </c>
      <c r="L108" s="4" t="b">
        <f t="shared" si="6"/>
        <v>0</v>
      </c>
      <c r="M108" s="4" t="b">
        <f t="shared" si="7"/>
        <v>0</v>
      </c>
      <c r="N108" s="4" t="b">
        <f t="shared" si="8"/>
        <v>0</v>
      </c>
      <c r="O108" s="4" t="b">
        <f t="shared" si="9"/>
        <v>0</v>
      </c>
      <c r="P108" s="4" t="b">
        <f t="shared" si="10"/>
        <v>0</v>
      </c>
      <c r="Q108" s="4" t="b">
        <f t="shared" si="11"/>
        <v>0</v>
      </c>
    </row>
    <row r="109" spans="2:17" ht="15" x14ac:dyDescent="0.2">
      <c r="B109">
        <v>1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0</v>
      </c>
      <c r="L109" s="4" t="b">
        <f t="shared" si="6"/>
        <v>0</v>
      </c>
      <c r="M109" s="4" t="b">
        <f t="shared" si="7"/>
        <v>0</v>
      </c>
      <c r="N109" s="4" t="b">
        <f t="shared" si="8"/>
        <v>0</v>
      </c>
      <c r="O109" s="4" t="b">
        <f t="shared" si="9"/>
        <v>0</v>
      </c>
      <c r="P109" s="4" t="b">
        <f t="shared" si="10"/>
        <v>0</v>
      </c>
      <c r="Q109" s="4" t="b">
        <f t="shared" si="11"/>
        <v>0</v>
      </c>
    </row>
    <row r="110" spans="2:17" ht="15" x14ac:dyDescent="0.2">
      <c r="B110">
        <v>1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1</v>
      </c>
      <c r="L110" s="4" t="b">
        <f t="shared" si="6"/>
        <v>0</v>
      </c>
      <c r="M110" s="4" t="b">
        <f t="shared" si="7"/>
        <v>0</v>
      </c>
      <c r="N110" s="4" t="b">
        <f t="shared" si="8"/>
        <v>0</v>
      </c>
      <c r="O110" s="4" t="b">
        <f t="shared" si="9"/>
        <v>0</v>
      </c>
      <c r="P110" s="4" t="b">
        <f t="shared" si="10"/>
        <v>1</v>
      </c>
      <c r="Q110" s="4" t="b">
        <f t="shared" si="11"/>
        <v>0</v>
      </c>
    </row>
    <row r="111" spans="2:17" ht="15" x14ac:dyDescent="0.2"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1</v>
      </c>
      <c r="J111">
        <v>0</v>
      </c>
      <c r="L111" s="4" t="b">
        <f t="shared" si="6"/>
        <v>0</v>
      </c>
      <c r="M111" s="4" t="b">
        <f t="shared" si="7"/>
        <v>0</v>
      </c>
      <c r="N111" s="4" t="b">
        <f t="shared" si="8"/>
        <v>0</v>
      </c>
      <c r="O111" s="4" t="b">
        <f t="shared" si="9"/>
        <v>0</v>
      </c>
      <c r="P111" s="4" t="b">
        <f t="shared" si="10"/>
        <v>1</v>
      </c>
      <c r="Q111" s="4" t="b">
        <f t="shared" si="11"/>
        <v>0</v>
      </c>
    </row>
    <row r="112" spans="2:17" ht="15" x14ac:dyDescent="0.2">
      <c r="B112">
        <v>1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</v>
      </c>
      <c r="L112" s="4" t="b">
        <f t="shared" si="6"/>
        <v>0</v>
      </c>
      <c r="M112" s="4" t="b">
        <f t="shared" si="7"/>
        <v>0</v>
      </c>
      <c r="N112" s="4" t="b">
        <f t="shared" si="8"/>
        <v>0</v>
      </c>
      <c r="O112" s="4" t="b">
        <f t="shared" si="9"/>
        <v>0</v>
      </c>
      <c r="P112" s="4" t="b">
        <f t="shared" si="10"/>
        <v>0</v>
      </c>
      <c r="Q112" s="4" t="b">
        <f t="shared" si="11"/>
        <v>0</v>
      </c>
    </row>
    <row r="113" spans="2:17" ht="15" x14ac:dyDescent="0.2">
      <c r="B113">
        <v>1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L113" s="4" t="b">
        <f t="shared" si="6"/>
        <v>0</v>
      </c>
      <c r="M113" s="4" t="b">
        <f t="shared" si="7"/>
        <v>0</v>
      </c>
      <c r="N113" s="4" t="b">
        <f t="shared" si="8"/>
        <v>0</v>
      </c>
      <c r="O113" s="4" t="b">
        <f t="shared" si="9"/>
        <v>0</v>
      </c>
      <c r="P113" s="4" t="b">
        <f t="shared" si="10"/>
        <v>0</v>
      </c>
      <c r="Q113" s="4" t="b">
        <f t="shared" si="11"/>
        <v>0</v>
      </c>
    </row>
    <row r="114" spans="2:17" ht="15" x14ac:dyDescent="0.2">
      <c r="B114">
        <v>1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1</v>
      </c>
      <c r="L114" s="4" t="b">
        <f t="shared" si="6"/>
        <v>0</v>
      </c>
      <c r="M114" s="4" t="b">
        <f t="shared" si="7"/>
        <v>0</v>
      </c>
      <c r="N114" s="4" t="b">
        <f t="shared" si="8"/>
        <v>1</v>
      </c>
      <c r="O114" s="4" t="b">
        <f t="shared" si="9"/>
        <v>0</v>
      </c>
      <c r="P114" s="4" t="b">
        <f t="shared" si="10"/>
        <v>0</v>
      </c>
      <c r="Q114" s="4" t="b">
        <f t="shared" si="11"/>
        <v>0</v>
      </c>
    </row>
    <row r="115" spans="2:17" ht="15" x14ac:dyDescent="0.2">
      <c r="B115">
        <v>1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0</v>
      </c>
      <c r="L115" s="4" t="b">
        <f t="shared" si="6"/>
        <v>0</v>
      </c>
      <c r="M115" s="4" t="b">
        <f t="shared" si="7"/>
        <v>0</v>
      </c>
      <c r="N115" s="4" t="b">
        <f t="shared" si="8"/>
        <v>0</v>
      </c>
      <c r="O115" s="4" t="b">
        <f t="shared" si="9"/>
        <v>0</v>
      </c>
      <c r="P115" s="4" t="b">
        <f t="shared" si="10"/>
        <v>0</v>
      </c>
      <c r="Q115" s="4" t="b">
        <f t="shared" si="11"/>
        <v>0</v>
      </c>
    </row>
    <row r="116" spans="2:17" ht="15" x14ac:dyDescent="0.2">
      <c r="B116">
        <v>1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1</v>
      </c>
      <c r="L116" s="4" t="b">
        <f t="shared" si="6"/>
        <v>0</v>
      </c>
      <c r="M116" s="4" t="b">
        <f t="shared" si="7"/>
        <v>0</v>
      </c>
      <c r="N116" s="4" t="b">
        <f t="shared" si="8"/>
        <v>0</v>
      </c>
      <c r="O116" s="4" t="b">
        <f t="shared" si="9"/>
        <v>0</v>
      </c>
      <c r="P116" s="4" t="b">
        <f t="shared" si="10"/>
        <v>0</v>
      </c>
      <c r="Q116" s="4" t="b">
        <f t="shared" si="11"/>
        <v>0</v>
      </c>
    </row>
    <row r="117" spans="2:17" ht="15" x14ac:dyDescent="0.2">
      <c r="B117">
        <v>1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L117" s="4" t="b">
        <f t="shared" si="6"/>
        <v>0</v>
      </c>
      <c r="M117" s="4" t="b">
        <f t="shared" si="7"/>
        <v>0</v>
      </c>
      <c r="N117" s="4" t="b">
        <f t="shared" si="8"/>
        <v>0</v>
      </c>
      <c r="O117" s="4" t="b">
        <f t="shared" si="9"/>
        <v>0</v>
      </c>
      <c r="P117" s="4" t="b">
        <f t="shared" si="10"/>
        <v>0</v>
      </c>
      <c r="Q117" s="4" t="b">
        <f t="shared" si="11"/>
        <v>0</v>
      </c>
    </row>
    <row r="118" spans="2:17" ht="15" x14ac:dyDescent="0.2">
      <c r="B118">
        <v>1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1</v>
      </c>
      <c r="J118">
        <v>1</v>
      </c>
      <c r="L118" s="4" t="b">
        <f t="shared" si="6"/>
        <v>0</v>
      </c>
      <c r="M118" s="4" t="b">
        <f t="shared" si="7"/>
        <v>0</v>
      </c>
      <c r="N118" s="4" t="b">
        <f t="shared" si="8"/>
        <v>0</v>
      </c>
      <c r="O118" s="4" t="b">
        <f t="shared" si="9"/>
        <v>0</v>
      </c>
      <c r="P118" s="4" t="b">
        <f t="shared" si="10"/>
        <v>0</v>
      </c>
      <c r="Q118" s="4" t="b">
        <f t="shared" si="11"/>
        <v>0</v>
      </c>
    </row>
    <row r="119" spans="2:17" ht="15" x14ac:dyDescent="0.2">
      <c r="B119">
        <v>1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L119" s="4" t="b">
        <f t="shared" si="6"/>
        <v>0</v>
      </c>
      <c r="M119" s="4" t="b">
        <f t="shared" si="7"/>
        <v>0</v>
      </c>
      <c r="N119" s="4" t="b">
        <f t="shared" si="8"/>
        <v>0</v>
      </c>
      <c r="O119" s="4" t="b">
        <f t="shared" si="9"/>
        <v>0</v>
      </c>
      <c r="P119" s="4" t="b">
        <f t="shared" si="10"/>
        <v>0</v>
      </c>
      <c r="Q119" s="4" t="b">
        <f t="shared" si="11"/>
        <v>0</v>
      </c>
    </row>
    <row r="120" spans="2:17" ht="15" x14ac:dyDescent="0.2">
      <c r="B120">
        <v>1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1</v>
      </c>
      <c r="L120" s="4" t="b">
        <f t="shared" si="6"/>
        <v>0</v>
      </c>
      <c r="M120" s="4" t="b">
        <f t="shared" si="7"/>
        <v>0</v>
      </c>
      <c r="N120" s="4" t="b">
        <f t="shared" si="8"/>
        <v>0</v>
      </c>
      <c r="O120" s="4" t="b">
        <f t="shared" si="9"/>
        <v>0</v>
      </c>
      <c r="P120" s="4" t="b">
        <f t="shared" si="10"/>
        <v>0</v>
      </c>
      <c r="Q120" s="4" t="b">
        <f t="shared" si="11"/>
        <v>0</v>
      </c>
    </row>
    <row r="121" spans="2:17" ht="15" x14ac:dyDescent="0.2">
      <c r="B121">
        <v>1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L121" s="4" t="b">
        <f t="shared" si="6"/>
        <v>0</v>
      </c>
      <c r="M121" s="4" t="b">
        <f t="shared" si="7"/>
        <v>0</v>
      </c>
      <c r="N121" s="4" t="b">
        <f t="shared" si="8"/>
        <v>0</v>
      </c>
      <c r="O121" s="4" t="b">
        <f t="shared" si="9"/>
        <v>0</v>
      </c>
      <c r="P121" s="4" t="b">
        <f t="shared" si="10"/>
        <v>0</v>
      </c>
      <c r="Q121" s="4" t="b">
        <f t="shared" si="11"/>
        <v>0</v>
      </c>
    </row>
    <row r="122" spans="2:17" ht="15" x14ac:dyDescent="0.2"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1</v>
      </c>
      <c r="L122" s="4" t="b">
        <f t="shared" si="6"/>
        <v>0</v>
      </c>
      <c r="M122" s="4" t="b">
        <f t="shared" si="7"/>
        <v>0</v>
      </c>
      <c r="N122" s="4" t="b">
        <f t="shared" si="8"/>
        <v>1</v>
      </c>
      <c r="O122" s="4" t="b">
        <f t="shared" si="9"/>
        <v>0</v>
      </c>
      <c r="P122" s="4" t="b">
        <f t="shared" si="10"/>
        <v>0</v>
      </c>
      <c r="Q122" s="4" t="b">
        <f t="shared" si="11"/>
        <v>0</v>
      </c>
    </row>
    <row r="123" spans="2:17" ht="15" x14ac:dyDescent="0.2"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L123" s="4" t="b">
        <f t="shared" si="6"/>
        <v>0</v>
      </c>
      <c r="M123" s="4" t="b">
        <f t="shared" si="7"/>
        <v>0</v>
      </c>
      <c r="N123" s="4" t="b">
        <f t="shared" si="8"/>
        <v>0</v>
      </c>
      <c r="O123" s="4" t="b">
        <f t="shared" si="9"/>
        <v>0</v>
      </c>
      <c r="P123" s="4" t="b">
        <f t="shared" si="10"/>
        <v>0</v>
      </c>
      <c r="Q123" s="4" t="b">
        <f t="shared" si="11"/>
        <v>0</v>
      </c>
    </row>
    <row r="124" spans="2:17" ht="15" x14ac:dyDescent="0.2"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L124" s="4" t="b">
        <f t="shared" si="6"/>
        <v>0</v>
      </c>
      <c r="M124" s="4" t="b">
        <f t="shared" si="7"/>
        <v>0</v>
      </c>
      <c r="N124" s="4" t="b">
        <f t="shared" si="8"/>
        <v>0</v>
      </c>
      <c r="O124" s="4" t="b">
        <f t="shared" si="9"/>
        <v>0</v>
      </c>
      <c r="P124" s="4" t="b">
        <f t="shared" si="10"/>
        <v>0</v>
      </c>
      <c r="Q124" s="4" t="b">
        <f t="shared" si="11"/>
        <v>0</v>
      </c>
    </row>
    <row r="125" spans="2:17" ht="15" x14ac:dyDescent="0.2"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L125" s="4" t="b">
        <f t="shared" si="6"/>
        <v>0</v>
      </c>
      <c r="M125" s="4" t="b">
        <f t="shared" si="7"/>
        <v>0</v>
      </c>
      <c r="N125" s="4" t="b">
        <f t="shared" si="8"/>
        <v>0</v>
      </c>
      <c r="O125" s="4" t="b">
        <f t="shared" si="9"/>
        <v>0</v>
      </c>
      <c r="P125" s="4" t="b">
        <f t="shared" si="10"/>
        <v>0</v>
      </c>
      <c r="Q125" s="4" t="b">
        <f t="shared" si="11"/>
        <v>0</v>
      </c>
    </row>
    <row r="126" spans="2:17" ht="15" x14ac:dyDescent="0.2"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L126" s="4" t="b">
        <f t="shared" si="6"/>
        <v>0</v>
      </c>
      <c r="M126" s="4" t="b">
        <f t="shared" si="7"/>
        <v>0</v>
      </c>
      <c r="N126" s="4" t="b">
        <f t="shared" si="8"/>
        <v>0</v>
      </c>
      <c r="O126" s="4" t="b">
        <f t="shared" si="9"/>
        <v>0</v>
      </c>
      <c r="P126" s="4" t="b">
        <f t="shared" si="10"/>
        <v>0</v>
      </c>
      <c r="Q126" s="4" t="b">
        <f t="shared" si="11"/>
        <v>0</v>
      </c>
    </row>
    <row r="127" spans="2:17" ht="15" x14ac:dyDescent="0.2"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L127" s="4" t="b">
        <f t="shared" si="6"/>
        <v>0</v>
      </c>
      <c r="M127" s="4" t="b">
        <f t="shared" si="7"/>
        <v>0</v>
      </c>
      <c r="N127" s="4" t="b">
        <f t="shared" si="8"/>
        <v>0</v>
      </c>
      <c r="O127" s="4" t="b">
        <f t="shared" si="9"/>
        <v>0</v>
      </c>
      <c r="P127" s="4" t="b">
        <f t="shared" si="10"/>
        <v>0</v>
      </c>
      <c r="Q127" s="4" t="b">
        <f t="shared" si="11"/>
        <v>0</v>
      </c>
    </row>
    <row r="128" spans="2:17" ht="15" x14ac:dyDescent="0.2"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L128" s="4" t="b">
        <f t="shared" si="6"/>
        <v>0</v>
      </c>
      <c r="M128" s="4" t="b">
        <f t="shared" si="7"/>
        <v>0</v>
      </c>
      <c r="N128" s="4" t="b">
        <f t="shared" si="8"/>
        <v>0</v>
      </c>
      <c r="O128" s="4" t="b">
        <f t="shared" si="9"/>
        <v>0</v>
      </c>
      <c r="P128" s="4" t="b">
        <f t="shared" si="10"/>
        <v>0</v>
      </c>
      <c r="Q128" s="4" t="b">
        <f t="shared" si="11"/>
        <v>0</v>
      </c>
    </row>
    <row r="129" spans="2:17" ht="15" x14ac:dyDescent="0.2"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L129" s="4" t="b">
        <f t="shared" si="6"/>
        <v>0</v>
      </c>
      <c r="M129" s="4" t="b">
        <f t="shared" si="7"/>
        <v>0</v>
      </c>
      <c r="N129" s="4" t="b">
        <f t="shared" si="8"/>
        <v>0</v>
      </c>
      <c r="O129" s="4" t="b">
        <f t="shared" si="9"/>
        <v>0</v>
      </c>
      <c r="P129" s="4" t="b">
        <f t="shared" si="10"/>
        <v>0</v>
      </c>
      <c r="Q129" s="4" t="b">
        <f t="shared" si="11"/>
        <v>0</v>
      </c>
    </row>
    <row r="130" spans="2:17" ht="15" x14ac:dyDescent="0.2">
      <c r="B130">
        <v>1</v>
      </c>
      <c r="C130">
        <v>0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L130" s="4" t="b">
        <f t="shared" ref="L130:L193" si="12">AND($B130&gt;=$V$2,$C130&gt;=$W$2,$D130&gt;=$X$2,$E130&gt;=$Y$2,$F130&gt;=$Z$2,$G130&gt;=$AA$2,$H130&gt;=$AB$2,$I130&gt;=$AC$2,$J130&gt;=$AD$2)</f>
        <v>0</v>
      </c>
      <c r="M130" s="4" t="b">
        <f t="shared" ref="M130:M193" si="13">AND($B130&gt;=$V$3,$C130&gt;=$W$3,$D130&gt;=$X$3,$E130&gt;=$Y$3,$F130&gt;=$Z$3,$G130&gt;=$AA$3,$H130&gt;=$AB$3,$I130&gt;=$AC$3,$J130&gt;=$AD$3)</f>
        <v>1</v>
      </c>
      <c r="N130" s="4" t="b">
        <f t="shared" ref="N130:N193" si="14">AND($B130&gt;=$V$4,$C130&gt;=$W$4,$D130&gt;=$X$4,$E130&gt;=$Y$4,$F130&gt;=$Z$4,$G130&gt;=$AA$4,$H130&gt;=$AB$4,$I130&gt;=$AC$4,$J130&gt;=$AD$4)</f>
        <v>1</v>
      </c>
      <c r="O130" s="4" t="b">
        <f t="shared" ref="O130:O193" si="15">AND($B130&gt;=$V$5,$C130&gt;=$W$5,$D130&gt;=$X$5,$E130&gt;=$Y$5,$F130&gt;=$Z$5,$G130&gt;=$AA$5,$H130&gt;=$AB$5,$I130&gt;=$AC$5,$J130&gt;=$AD$5)</f>
        <v>1</v>
      </c>
      <c r="P130" s="4" t="b">
        <f t="shared" ref="P130:P193" si="16">AND($B130&gt;=$V$6,$C130&gt;=$W$6,$D130&gt;=$X$6,$E130&gt;=$Y$6,$F130&gt;=$Z$6,$G130&gt;=$AA$6,$H130&gt;=$AB$6,$I130&gt;=$AC$6,$J130&gt;=$AD$6)</f>
        <v>0</v>
      </c>
      <c r="Q130" s="4" t="b">
        <f t="shared" ref="Q130:Q193" si="17">AND($B130&gt;=$V$7,$C130&gt;=$W$7,$D130&gt;=$X$7,$E130&gt;=$Y$7,$F130&gt;=$Z$7,$G130&gt;=$AA$7,$H130&gt;=$AB$7,$I130&gt;=$AC$7,$J130&gt;=$AD$7)</f>
        <v>1</v>
      </c>
    </row>
    <row r="131" spans="2:17" ht="15" x14ac:dyDescent="0.2"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</v>
      </c>
      <c r="L131" s="4" t="b">
        <f t="shared" si="12"/>
        <v>0</v>
      </c>
      <c r="M131" s="4" t="b">
        <f t="shared" si="13"/>
        <v>1</v>
      </c>
      <c r="N131" s="4" t="b">
        <f t="shared" si="14"/>
        <v>0</v>
      </c>
      <c r="O131" s="4" t="b">
        <f t="shared" si="15"/>
        <v>1</v>
      </c>
      <c r="P131" s="4" t="b">
        <f t="shared" si="16"/>
        <v>0</v>
      </c>
      <c r="Q131" s="4" t="b">
        <f t="shared" si="17"/>
        <v>0</v>
      </c>
    </row>
    <row r="132" spans="2:17" ht="15" x14ac:dyDescent="0.2">
      <c r="B132">
        <v>1</v>
      </c>
      <c r="C132">
        <v>0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1</v>
      </c>
      <c r="L132" s="4" t="b">
        <f t="shared" si="12"/>
        <v>0</v>
      </c>
      <c r="M132" s="4" t="b">
        <f t="shared" si="13"/>
        <v>1</v>
      </c>
      <c r="N132" s="4" t="b">
        <f t="shared" si="14"/>
        <v>0</v>
      </c>
      <c r="O132" s="4" t="b">
        <f t="shared" si="15"/>
        <v>1</v>
      </c>
      <c r="P132" s="4" t="b">
        <f t="shared" si="16"/>
        <v>0</v>
      </c>
      <c r="Q132" s="4" t="b">
        <f t="shared" si="17"/>
        <v>1</v>
      </c>
    </row>
    <row r="133" spans="2:17" ht="15" x14ac:dyDescent="0.2">
      <c r="B133">
        <v>1</v>
      </c>
      <c r="C133">
        <v>0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0</v>
      </c>
      <c r="L133" s="4" t="b">
        <f t="shared" si="12"/>
        <v>0</v>
      </c>
      <c r="M133" s="4" t="b">
        <f t="shared" si="13"/>
        <v>1</v>
      </c>
      <c r="N133" s="4" t="b">
        <f t="shared" si="14"/>
        <v>0</v>
      </c>
      <c r="O133" s="4" t="b">
        <f t="shared" si="15"/>
        <v>1</v>
      </c>
      <c r="P133" s="4" t="b">
        <f t="shared" si="16"/>
        <v>0</v>
      </c>
      <c r="Q133" s="4" t="b">
        <f t="shared" si="17"/>
        <v>0</v>
      </c>
    </row>
    <row r="134" spans="2:17" ht="15" x14ac:dyDescent="0.2">
      <c r="B134">
        <v>1</v>
      </c>
      <c r="C134">
        <v>0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L134" s="4" t="b">
        <f t="shared" si="12"/>
        <v>0</v>
      </c>
      <c r="M134" s="4" t="b">
        <f t="shared" si="13"/>
        <v>1</v>
      </c>
      <c r="N134" s="4" t="b">
        <f t="shared" si="14"/>
        <v>0</v>
      </c>
      <c r="O134" s="4" t="b">
        <f t="shared" si="15"/>
        <v>0</v>
      </c>
      <c r="P134" s="4" t="b">
        <f t="shared" si="16"/>
        <v>0</v>
      </c>
      <c r="Q134" s="4" t="b">
        <f t="shared" si="17"/>
        <v>1</v>
      </c>
    </row>
    <row r="135" spans="2:17" ht="15" x14ac:dyDescent="0.2">
      <c r="B135">
        <v>1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0</v>
      </c>
      <c r="L135" s="4" t="b">
        <f t="shared" si="12"/>
        <v>0</v>
      </c>
      <c r="M135" s="4" t="b">
        <f t="shared" si="13"/>
        <v>1</v>
      </c>
      <c r="N135" s="4" t="b">
        <f t="shared" si="14"/>
        <v>0</v>
      </c>
      <c r="O135" s="4" t="b">
        <f t="shared" si="15"/>
        <v>0</v>
      </c>
      <c r="P135" s="4" t="b">
        <f t="shared" si="16"/>
        <v>0</v>
      </c>
      <c r="Q135" s="4" t="b">
        <f t="shared" si="17"/>
        <v>0</v>
      </c>
    </row>
    <row r="136" spans="2:17" ht="15" x14ac:dyDescent="0.2">
      <c r="B136">
        <v>1</v>
      </c>
      <c r="C136">
        <v>0</v>
      </c>
      <c r="D136">
        <v>1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1</v>
      </c>
      <c r="L136" s="4" t="b">
        <f t="shared" si="12"/>
        <v>0</v>
      </c>
      <c r="M136" s="4" t="b">
        <f t="shared" si="13"/>
        <v>1</v>
      </c>
      <c r="N136" s="4" t="b">
        <f t="shared" si="14"/>
        <v>0</v>
      </c>
      <c r="O136" s="4" t="b">
        <f t="shared" si="15"/>
        <v>0</v>
      </c>
      <c r="P136" s="4" t="b">
        <f t="shared" si="16"/>
        <v>0</v>
      </c>
      <c r="Q136" s="4" t="b">
        <f t="shared" si="17"/>
        <v>1</v>
      </c>
    </row>
    <row r="137" spans="2:17" ht="15" x14ac:dyDescent="0.2">
      <c r="B137">
        <v>1</v>
      </c>
      <c r="C137">
        <v>0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0</v>
      </c>
      <c r="J137">
        <v>0</v>
      </c>
      <c r="L137" s="4" t="b">
        <f t="shared" si="12"/>
        <v>0</v>
      </c>
      <c r="M137" s="4" t="b">
        <f t="shared" si="13"/>
        <v>1</v>
      </c>
      <c r="N137" s="4" t="b">
        <f t="shared" si="14"/>
        <v>0</v>
      </c>
      <c r="O137" s="4" t="b">
        <f t="shared" si="15"/>
        <v>0</v>
      </c>
      <c r="P137" s="4" t="b">
        <f t="shared" si="16"/>
        <v>0</v>
      </c>
      <c r="Q137" s="4" t="b">
        <f t="shared" si="17"/>
        <v>0</v>
      </c>
    </row>
    <row r="138" spans="2:17" ht="15" x14ac:dyDescent="0.2">
      <c r="B138">
        <v>1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L138" s="4" t="b">
        <f t="shared" si="12"/>
        <v>0</v>
      </c>
      <c r="M138" s="4" t="b">
        <f t="shared" si="13"/>
        <v>0</v>
      </c>
      <c r="N138" s="4" t="b">
        <f t="shared" si="14"/>
        <v>1</v>
      </c>
      <c r="O138" s="4" t="b">
        <f t="shared" si="15"/>
        <v>1</v>
      </c>
      <c r="P138" s="4" t="b">
        <f t="shared" si="16"/>
        <v>0</v>
      </c>
      <c r="Q138" s="4" t="b">
        <f t="shared" si="17"/>
        <v>0</v>
      </c>
    </row>
    <row r="139" spans="2:17" ht="15" x14ac:dyDescent="0.2">
      <c r="B139">
        <v>1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0</v>
      </c>
      <c r="L139" s="4" t="b">
        <f t="shared" si="12"/>
        <v>0</v>
      </c>
      <c r="M139" s="4" t="b">
        <f t="shared" si="13"/>
        <v>0</v>
      </c>
      <c r="N139" s="4" t="b">
        <f t="shared" si="14"/>
        <v>0</v>
      </c>
      <c r="O139" s="4" t="b">
        <f t="shared" si="15"/>
        <v>1</v>
      </c>
      <c r="P139" s="4" t="b">
        <f t="shared" si="16"/>
        <v>0</v>
      </c>
      <c r="Q139" s="4" t="b">
        <f t="shared" si="17"/>
        <v>0</v>
      </c>
    </row>
    <row r="140" spans="2:17" ht="15" x14ac:dyDescent="0.2">
      <c r="B140">
        <v>1</v>
      </c>
      <c r="C140">
        <v>0</v>
      </c>
      <c r="D140">
        <v>1</v>
      </c>
      <c r="E140">
        <v>1</v>
      </c>
      <c r="F140">
        <v>1</v>
      </c>
      <c r="G140">
        <v>0</v>
      </c>
      <c r="H140">
        <v>1</v>
      </c>
      <c r="I140">
        <v>0</v>
      </c>
      <c r="J140">
        <v>1</v>
      </c>
      <c r="L140" s="4" t="b">
        <f t="shared" si="12"/>
        <v>0</v>
      </c>
      <c r="M140" s="4" t="b">
        <f t="shared" si="13"/>
        <v>0</v>
      </c>
      <c r="N140" s="4" t="b">
        <f t="shared" si="14"/>
        <v>0</v>
      </c>
      <c r="O140" s="4" t="b">
        <f t="shared" si="15"/>
        <v>1</v>
      </c>
      <c r="P140" s="4" t="b">
        <f t="shared" si="16"/>
        <v>0</v>
      </c>
      <c r="Q140" s="4" t="b">
        <f t="shared" si="17"/>
        <v>0</v>
      </c>
    </row>
    <row r="141" spans="2:17" ht="15" x14ac:dyDescent="0.2">
      <c r="B141">
        <v>1</v>
      </c>
      <c r="C141">
        <v>0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0</v>
      </c>
      <c r="J141">
        <v>0</v>
      </c>
      <c r="L141" s="4" t="b">
        <f t="shared" si="12"/>
        <v>0</v>
      </c>
      <c r="M141" s="4" t="b">
        <f t="shared" si="13"/>
        <v>0</v>
      </c>
      <c r="N141" s="4" t="b">
        <f t="shared" si="14"/>
        <v>0</v>
      </c>
      <c r="O141" s="4" t="b">
        <f t="shared" si="15"/>
        <v>1</v>
      </c>
      <c r="P141" s="4" t="b">
        <f t="shared" si="16"/>
        <v>0</v>
      </c>
      <c r="Q141" s="4" t="b">
        <f t="shared" si="17"/>
        <v>0</v>
      </c>
    </row>
    <row r="142" spans="2:17" ht="15" x14ac:dyDescent="0.2">
      <c r="B142">
        <v>1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1</v>
      </c>
      <c r="L142" s="4" t="b">
        <f t="shared" si="12"/>
        <v>0</v>
      </c>
      <c r="M142" s="4" t="b">
        <f t="shared" si="13"/>
        <v>0</v>
      </c>
      <c r="N142" s="4" t="b">
        <f t="shared" si="14"/>
        <v>0</v>
      </c>
      <c r="O142" s="4" t="b">
        <f t="shared" si="15"/>
        <v>0</v>
      </c>
      <c r="P142" s="4" t="b">
        <f t="shared" si="16"/>
        <v>0</v>
      </c>
      <c r="Q142" s="4" t="b">
        <f t="shared" si="17"/>
        <v>0</v>
      </c>
    </row>
    <row r="143" spans="2:17" ht="15" x14ac:dyDescent="0.2">
      <c r="B143">
        <v>1</v>
      </c>
      <c r="C143">
        <v>0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L143" s="4" t="b">
        <f t="shared" si="12"/>
        <v>0</v>
      </c>
      <c r="M143" s="4" t="b">
        <f t="shared" si="13"/>
        <v>0</v>
      </c>
      <c r="N143" s="4" t="b">
        <f t="shared" si="14"/>
        <v>0</v>
      </c>
      <c r="O143" s="4" t="b">
        <f t="shared" si="15"/>
        <v>0</v>
      </c>
      <c r="P143" s="4" t="b">
        <f t="shared" si="16"/>
        <v>0</v>
      </c>
      <c r="Q143" s="4" t="b">
        <f t="shared" si="17"/>
        <v>0</v>
      </c>
    </row>
    <row r="144" spans="2:17" ht="15" x14ac:dyDescent="0.2">
      <c r="B144">
        <v>1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1</v>
      </c>
      <c r="L144" s="4" t="b">
        <f t="shared" si="12"/>
        <v>0</v>
      </c>
      <c r="M144" s="4" t="b">
        <f t="shared" si="13"/>
        <v>0</v>
      </c>
      <c r="N144" s="4" t="b">
        <f t="shared" si="14"/>
        <v>0</v>
      </c>
      <c r="O144" s="4" t="b">
        <f t="shared" si="15"/>
        <v>0</v>
      </c>
      <c r="P144" s="4" t="b">
        <f t="shared" si="16"/>
        <v>0</v>
      </c>
      <c r="Q144" s="4" t="b">
        <f t="shared" si="17"/>
        <v>0</v>
      </c>
    </row>
    <row r="145" spans="2:17" ht="15" x14ac:dyDescent="0.2">
      <c r="B145">
        <v>1</v>
      </c>
      <c r="C145">
        <v>0</v>
      </c>
      <c r="D145">
        <v>1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L145" s="4" t="b">
        <f t="shared" si="12"/>
        <v>0</v>
      </c>
      <c r="M145" s="4" t="b">
        <f t="shared" si="13"/>
        <v>0</v>
      </c>
      <c r="N145" s="4" t="b">
        <f t="shared" si="14"/>
        <v>0</v>
      </c>
      <c r="O145" s="4" t="b">
        <f t="shared" si="15"/>
        <v>0</v>
      </c>
      <c r="P145" s="4" t="b">
        <f t="shared" si="16"/>
        <v>0</v>
      </c>
      <c r="Q145" s="4" t="b">
        <f t="shared" si="17"/>
        <v>0</v>
      </c>
    </row>
    <row r="146" spans="2:17" ht="15" x14ac:dyDescent="0.2">
      <c r="B146">
        <v>1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</v>
      </c>
      <c r="J146">
        <v>1</v>
      </c>
      <c r="L146" s="4" t="b">
        <f t="shared" si="12"/>
        <v>0</v>
      </c>
      <c r="M146" s="4" t="b">
        <f t="shared" si="13"/>
        <v>0</v>
      </c>
      <c r="N146" s="4" t="b">
        <f t="shared" si="14"/>
        <v>1</v>
      </c>
      <c r="O146" s="4" t="b">
        <f t="shared" si="15"/>
        <v>1</v>
      </c>
      <c r="P146" s="4" t="b">
        <f t="shared" si="16"/>
        <v>0</v>
      </c>
      <c r="Q146" s="4" t="b">
        <f t="shared" si="17"/>
        <v>1</v>
      </c>
    </row>
    <row r="147" spans="2:17" ht="15" x14ac:dyDescent="0.2">
      <c r="B147">
        <v>1</v>
      </c>
      <c r="C147">
        <v>0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0</v>
      </c>
      <c r="L147" s="4" t="b">
        <f t="shared" si="12"/>
        <v>0</v>
      </c>
      <c r="M147" s="4" t="b">
        <f t="shared" si="13"/>
        <v>0</v>
      </c>
      <c r="N147" s="4" t="b">
        <f t="shared" si="14"/>
        <v>0</v>
      </c>
      <c r="O147" s="4" t="b">
        <f t="shared" si="15"/>
        <v>1</v>
      </c>
      <c r="P147" s="4" t="b">
        <f t="shared" si="16"/>
        <v>0</v>
      </c>
      <c r="Q147" s="4" t="b">
        <f t="shared" si="17"/>
        <v>0</v>
      </c>
    </row>
    <row r="148" spans="2:17" ht="15" x14ac:dyDescent="0.2">
      <c r="B148">
        <v>1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1</v>
      </c>
      <c r="L148" s="4" t="b">
        <f t="shared" si="12"/>
        <v>0</v>
      </c>
      <c r="M148" s="4" t="b">
        <f t="shared" si="13"/>
        <v>0</v>
      </c>
      <c r="N148" s="4" t="b">
        <f t="shared" si="14"/>
        <v>0</v>
      </c>
      <c r="O148" s="4" t="b">
        <f t="shared" si="15"/>
        <v>1</v>
      </c>
      <c r="P148" s="4" t="b">
        <f t="shared" si="16"/>
        <v>0</v>
      </c>
      <c r="Q148" s="4" t="b">
        <f t="shared" si="17"/>
        <v>1</v>
      </c>
    </row>
    <row r="149" spans="2:17" ht="15" x14ac:dyDescent="0.2">
      <c r="B149">
        <v>1</v>
      </c>
      <c r="C149">
        <v>0</v>
      </c>
      <c r="D149">
        <v>1</v>
      </c>
      <c r="E149">
        <v>1</v>
      </c>
      <c r="F149">
        <v>0</v>
      </c>
      <c r="G149">
        <v>1</v>
      </c>
      <c r="H149">
        <v>1</v>
      </c>
      <c r="I149">
        <v>0</v>
      </c>
      <c r="J149">
        <v>0</v>
      </c>
      <c r="L149" s="4" t="b">
        <f t="shared" si="12"/>
        <v>0</v>
      </c>
      <c r="M149" s="4" t="b">
        <f t="shared" si="13"/>
        <v>0</v>
      </c>
      <c r="N149" s="4" t="b">
        <f t="shared" si="14"/>
        <v>0</v>
      </c>
      <c r="O149" s="4" t="b">
        <f t="shared" si="15"/>
        <v>1</v>
      </c>
      <c r="P149" s="4" t="b">
        <f t="shared" si="16"/>
        <v>0</v>
      </c>
      <c r="Q149" s="4" t="b">
        <f t="shared" si="17"/>
        <v>0</v>
      </c>
    </row>
    <row r="150" spans="2:17" ht="15" x14ac:dyDescent="0.2">
      <c r="B150">
        <v>1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0</v>
      </c>
      <c r="I150">
        <v>1</v>
      </c>
      <c r="J150">
        <v>1</v>
      </c>
      <c r="L150" s="4" t="b">
        <f t="shared" si="12"/>
        <v>0</v>
      </c>
      <c r="M150" s="4" t="b">
        <f t="shared" si="13"/>
        <v>0</v>
      </c>
      <c r="N150" s="4" t="b">
        <f t="shared" si="14"/>
        <v>0</v>
      </c>
      <c r="O150" s="4" t="b">
        <f t="shared" si="15"/>
        <v>0</v>
      </c>
      <c r="P150" s="4" t="b">
        <f t="shared" si="16"/>
        <v>0</v>
      </c>
      <c r="Q150" s="4" t="b">
        <f t="shared" si="17"/>
        <v>1</v>
      </c>
    </row>
    <row r="151" spans="2:17" ht="15" x14ac:dyDescent="0.2">
      <c r="B151">
        <v>1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1</v>
      </c>
      <c r="J151">
        <v>0</v>
      </c>
      <c r="L151" s="4" t="b">
        <f t="shared" si="12"/>
        <v>0</v>
      </c>
      <c r="M151" s="4" t="b">
        <f t="shared" si="13"/>
        <v>0</v>
      </c>
      <c r="N151" s="4" t="b">
        <f t="shared" si="14"/>
        <v>0</v>
      </c>
      <c r="O151" s="4" t="b">
        <f t="shared" si="15"/>
        <v>0</v>
      </c>
      <c r="P151" s="4" t="b">
        <f t="shared" si="16"/>
        <v>0</v>
      </c>
      <c r="Q151" s="4" t="b">
        <f t="shared" si="17"/>
        <v>0</v>
      </c>
    </row>
    <row r="152" spans="2:17" ht="15" x14ac:dyDescent="0.2">
      <c r="B152">
        <v>1</v>
      </c>
      <c r="C152">
        <v>0</v>
      </c>
      <c r="D152">
        <v>1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1</v>
      </c>
      <c r="L152" s="4" t="b">
        <f t="shared" si="12"/>
        <v>0</v>
      </c>
      <c r="M152" s="4" t="b">
        <f t="shared" si="13"/>
        <v>0</v>
      </c>
      <c r="N152" s="4" t="b">
        <f t="shared" si="14"/>
        <v>0</v>
      </c>
      <c r="O152" s="4" t="b">
        <f t="shared" si="15"/>
        <v>0</v>
      </c>
      <c r="P152" s="4" t="b">
        <f t="shared" si="16"/>
        <v>0</v>
      </c>
      <c r="Q152" s="4" t="b">
        <f t="shared" si="17"/>
        <v>1</v>
      </c>
    </row>
    <row r="153" spans="2:17" ht="15" x14ac:dyDescent="0.2">
      <c r="B153">
        <v>1</v>
      </c>
      <c r="C153">
        <v>0</v>
      </c>
      <c r="D153">
        <v>1</v>
      </c>
      <c r="E153">
        <v>1</v>
      </c>
      <c r="F153">
        <v>0</v>
      </c>
      <c r="G153">
        <v>1</v>
      </c>
      <c r="H153">
        <v>0</v>
      </c>
      <c r="I153">
        <v>0</v>
      </c>
      <c r="J153">
        <v>0</v>
      </c>
      <c r="L153" s="4" t="b">
        <f t="shared" si="12"/>
        <v>0</v>
      </c>
      <c r="M153" s="4" t="b">
        <f t="shared" si="13"/>
        <v>0</v>
      </c>
      <c r="N153" s="4" t="b">
        <f t="shared" si="14"/>
        <v>0</v>
      </c>
      <c r="O153" s="4" t="b">
        <f t="shared" si="15"/>
        <v>0</v>
      </c>
      <c r="P153" s="4" t="b">
        <f t="shared" si="16"/>
        <v>0</v>
      </c>
      <c r="Q153" s="4" t="b">
        <f t="shared" si="17"/>
        <v>0</v>
      </c>
    </row>
    <row r="154" spans="2:17" ht="15" x14ac:dyDescent="0.2">
      <c r="B154">
        <v>1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1</v>
      </c>
      <c r="J154">
        <v>1</v>
      </c>
      <c r="L154" s="4" t="b">
        <f t="shared" si="12"/>
        <v>0</v>
      </c>
      <c r="M154" s="4" t="b">
        <f t="shared" si="13"/>
        <v>0</v>
      </c>
      <c r="N154" s="4" t="b">
        <f t="shared" si="14"/>
        <v>1</v>
      </c>
      <c r="O154" s="4" t="b">
        <f t="shared" si="15"/>
        <v>1</v>
      </c>
      <c r="P154" s="4" t="b">
        <f t="shared" si="16"/>
        <v>0</v>
      </c>
      <c r="Q154" s="4" t="b">
        <f t="shared" si="17"/>
        <v>0</v>
      </c>
    </row>
    <row r="155" spans="2:17" ht="15" x14ac:dyDescent="0.2"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  <c r="I155">
        <v>1</v>
      </c>
      <c r="J155">
        <v>0</v>
      </c>
      <c r="L155" s="4" t="b">
        <f t="shared" si="12"/>
        <v>0</v>
      </c>
      <c r="M155" s="4" t="b">
        <f t="shared" si="13"/>
        <v>0</v>
      </c>
      <c r="N155" s="4" t="b">
        <f t="shared" si="14"/>
        <v>0</v>
      </c>
      <c r="O155" s="4" t="b">
        <f t="shared" si="15"/>
        <v>1</v>
      </c>
      <c r="P155" s="4" t="b">
        <f t="shared" si="16"/>
        <v>0</v>
      </c>
      <c r="Q155" s="4" t="b">
        <f t="shared" si="17"/>
        <v>0</v>
      </c>
    </row>
    <row r="156" spans="2:17" ht="15" x14ac:dyDescent="0.2">
      <c r="B156">
        <v>1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1</v>
      </c>
      <c r="L156" s="4" t="b">
        <f t="shared" si="12"/>
        <v>0</v>
      </c>
      <c r="M156" s="4" t="b">
        <f t="shared" si="13"/>
        <v>0</v>
      </c>
      <c r="N156" s="4" t="b">
        <f t="shared" si="14"/>
        <v>0</v>
      </c>
      <c r="O156" s="4" t="b">
        <f t="shared" si="15"/>
        <v>1</v>
      </c>
      <c r="P156" s="4" t="b">
        <f t="shared" si="16"/>
        <v>0</v>
      </c>
      <c r="Q156" s="4" t="b">
        <f t="shared" si="17"/>
        <v>0</v>
      </c>
    </row>
    <row r="157" spans="2:17" ht="15" x14ac:dyDescent="0.2"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0</v>
      </c>
      <c r="L157" s="4" t="b">
        <f t="shared" si="12"/>
        <v>0</v>
      </c>
      <c r="M157" s="4" t="b">
        <f t="shared" si="13"/>
        <v>0</v>
      </c>
      <c r="N157" s="4" t="b">
        <f t="shared" si="14"/>
        <v>0</v>
      </c>
      <c r="O157" s="4" t="b">
        <f t="shared" si="15"/>
        <v>1</v>
      </c>
      <c r="P157" s="4" t="b">
        <f t="shared" si="16"/>
        <v>0</v>
      </c>
      <c r="Q157" s="4" t="b">
        <f t="shared" si="17"/>
        <v>0</v>
      </c>
    </row>
    <row r="158" spans="2:17" ht="15" x14ac:dyDescent="0.2">
      <c r="B158">
        <v>1</v>
      </c>
      <c r="C158">
        <v>0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1</v>
      </c>
      <c r="L158" s="4" t="b">
        <f t="shared" si="12"/>
        <v>0</v>
      </c>
      <c r="M158" s="4" t="b">
        <f t="shared" si="13"/>
        <v>0</v>
      </c>
      <c r="N158" s="4" t="b">
        <f t="shared" si="14"/>
        <v>0</v>
      </c>
      <c r="O158" s="4" t="b">
        <f t="shared" si="15"/>
        <v>0</v>
      </c>
      <c r="P158" s="4" t="b">
        <f t="shared" si="16"/>
        <v>0</v>
      </c>
      <c r="Q158" s="4" t="b">
        <f t="shared" si="17"/>
        <v>0</v>
      </c>
    </row>
    <row r="159" spans="2:17" ht="15" x14ac:dyDescent="0.2">
      <c r="B159">
        <v>1</v>
      </c>
      <c r="C159">
        <v>0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L159" s="4" t="b">
        <f t="shared" si="12"/>
        <v>0</v>
      </c>
      <c r="M159" s="4" t="b">
        <f t="shared" si="13"/>
        <v>0</v>
      </c>
      <c r="N159" s="4" t="b">
        <f t="shared" si="14"/>
        <v>0</v>
      </c>
      <c r="O159" s="4" t="b">
        <f t="shared" si="15"/>
        <v>0</v>
      </c>
      <c r="P159" s="4" t="b">
        <f t="shared" si="16"/>
        <v>0</v>
      </c>
      <c r="Q159" s="4" t="b">
        <f t="shared" si="17"/>
        <v>0</v>
      </c>
    </row>
    <row r="160" spans="2:17" ht="15" x14ac:dyDescent="0.2"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  <c r="L160" s="4" t="b">
        <f t="shared" si="12"/>
        <v>0</v>
      </c>
      <c r="M160" s="4" t="b">
        <f t="shared" si="13"/>
        <v>0</v>
      </c>
      <c r="N160" s="4" t="b">
        <f t="shared" si="14"/>
        <v>0</v>
      </c>
      <c r="O160" s="4" t="b">
        <f t="shared" si="15"/>
        <v>0</v>
      </c>
      <c r="P160" s="4" t="b">
        <f t="shared" si="16"/>
        <v>0</v>
      </c>
      <c r="Q160" s="4" t="b">
        <f t="shared" si="17"/>
        <v>0</v>
      </c>
    </row>
    <row r="161" spans="2:17" ht="15" x14ac:dyDescent="0.2">
      <c r="B161">
        <v>1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L161" s="4" t="b">
        <f t="shared" si="12"/>
        <v>0</v>
      </c>
      <c r="M161" s="4" t="b">
        <f t="shared" si="13"/>
        <v>0</v>
      </c>
      <c r="N161" s="4" t="b">
        <f t="shared" si="14"/>
        <v>0</v>
      </c>
      <c r="O161" s="4" t="b">
        <f t="shared" si="15"/>
        <v>0</v>
      </c>
      <c r="P161" s="4" t="b">
        <f t="shared" si="16"/>
        <v>0</v>
      </c>
      <c r="Q161" s="4" t="b">
        <f t="shared" si="17"/>
        <v>0</v>
      </c>
    </row>
    <row r="162" spans="2:17" ht="15" x14ac:dyDescent="0.2">
      <c r="B162">
        <v>1</v>
      </c>
      <c r="C162">
        <v>0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L162" s="4" t="b">
        <f t="shared" si="12"/>
        <v>0</v>
      </c>
      <c r="M162" s="4" t="b">
        <f t="shared" si="13"/>
        <v>0</v>
      </c>
      <c r="N162" s="4" t="b">
        <f t="shared" si="14"/>
        <v>1</v>
      </c>
      <c r="O162" s="4" t="b">
        <f t="shared" si="15"/>
        <v>0</v>
      </c>
      <c r="P162" s="4" t="b">
        <f t="shared" si="16"/>
        <v>0</v>
      </c>
      <c r="Q162" s="4" t="b">
        <f t="shared" si="17"/>
        <v>1</v>
      </c>
    </row>
    <row r="163" spans="2:17" ht="15" x14ac:dyDescent="0.2">
      <c r="B163">
        <v>1</v>
      </c>
      <c r="C163">
        <v>0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0</v>
      </c>
      <c r="L163" s="4" t="b">
        <f t="shared" si="12"/>
        <v>0</v>
      </c>
      <c r="M163" s="4" t="b">
        <f t="shared" si="13"/>
        <v>0</v>
      </c>
      <c r="N163" s="4" t="b">
        <f t="shared" si="14"/>
        <v>0</v>
      </c>
      <c r="O163" s="4" t="b">
        <f t="shared" si="15"/>
        <v>0</v>
      </c>
      <c r="P163" s="4" t="b">
        <f t="shared" si="16"/>
        <v>0</v>
      </c>
      <c r="Q163" s="4" t="b">
        <f t="shared" si="17"/>
        <v>0</v>
      </c>
    </row>
    <row r="164" spans="2:17" ht="15" x14ac:dyDescent="0.2">
      <c r="B164">
        <v>1</v>
      </c>
      <c r="C164">
        <v>0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0</v>
      </c>
      <c r="J164">
        <v>1</v>
      </c>
      <c r="L164" s="4" t="b">
        <f t="shared" si="12"/>
        <v>0</v>
      </c>
      <c r="M164" s="4" t="b">
        <f t="shared" si="13"/>
        <v>0</v>
      </c>
      <c r="N164" s="4" t="b">
        <f t="shared" si="14"/>
        <v>0</v>
      </c>
      <c r="O164" s="4" t="b">
        <f t="shared" si="15"/>
        <v>0</v>
      </c>
      <c r="P164" s="4" t="b">
        <f t="shared" si="16"/>
        <v>0</v>
      </c>
      <c r="Q164" s="4" t="b">
        <f t="shared" si="17"/>
        <v>1</v>
      </c>
    </row>
    <row r="165" spans="2:17" ht="15" x14ac:dyDescent="0.2">
      <c r="B165">
        <v>1</v>
      </c>
      <c r="C165">
        <v>0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0</v>
      </c>
      <c r="J165">
        <v>0</v>
      </c>
      <c r="L165" s="4" t="b">
        <f t="shared" si="12"/>
        <v>0</v>
      </c>
      <c r="M165" s="4" t="b">
        <f t="shared" si="13"/>
        <v>0</v>
      </c>
      <c r="N165" s="4" t="b">
        <f t="shared" si="14"/>
        <v>0</v>
      </c>
      <c r="O165" s="4" t="b">
        <f t="shared" si="15"/>
        <v>0</v>
      </c>
      <c r="P165" s="4" t="b">
        <f t="shared" si="16"/>
        <v>0</v>
      </c>
      <c r="Q165" s="4" t="b">
        <f t="shared" si="17"/>
        <v>0</v>
      </c>
    </row>
    <row r="166" spans="2:17" ht="15" x14ac:dyDescent="0.2">
      <c r="B166">
        <v>1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0</v>
      </c>
      <c r="I166">
        <v>1</v>
      </c>
      <c r="J166">
        <v>1</v>
      </c>
      <c r="L166" s="4" t="b">
        <f t="shared" si="12"/>
        <v>0</v>
      </c>
      <c r="M166" s="4" t="b">
        <f t="shared" si="13"/>
        <v>0</v>
      </c>
      <c r="N166" s="4" t="b">
        <f t="shared" si="14"/>
        <v>0</v>
      </c>
      <c r="O166" s="4" t="b">
        <f t="shared" si="15"/>
        <v>0</v>
      </c>
      <c r="P166" s="4" t="b">
        <f t="shared" si="16"/>
        <v>0</v>
      </c>
      <c r="Q166" s="4" t="b">
        <f t="shared" si="17"/>
        <v>1</v>
      </c>
    </row>
    <row r="167" spans="2:17" ht="15" x14ac:dyDescent="0.2">
      <c r="B167">
        <v>1</v>
      </c>
      <c r="C167">
        <v>0</v>
      </c>
      <c r="D167">
        <v>1</v>
      </c>
      <c r="E167">
        <v>0</v>
      </c>
      <c r="F167">
        <v>1</v>
      </c>
      <c r="G167">
        <v>1</v>
      </c>
      <c r="H167">
        <v>0</v>
      </c>
      <c r="I167">
        <v>1</v>
      </c>
      <c r="J167">
        <v>0</v>
      </c>
      <c r="L167" s="4" t="b">
        <f t="shared" si="12"/>
        <v>0</v>
      </c>
      <c r="M167" s="4" t="b">
        <f t="shared" si="13"/>
        <v>0</v>
      </c>
      <c r="N167" s="4" t="b">
        <f t="shared" si="14"/>
        <v>0</v>
      </c>
      <c r="O167" s="4" t="b">
        <f t="shared" si="15"/>
        <v>0</v>
      </c>
      <c r="P167" s="4" t="b">
        <f t="shared" si="16"/>
        <v>0</v>
      </c>
      <c r="Q167" s="4" t="b">
        <f t="shared" si="17"/>
        <v>0</v>
      </c>
    </row>
    <row r="168" spans="2:17" ht="15" x14ac:dyDescent="0.2">
      <c r="B168">
        <v>1</v>
      </c>
      <c r="C168">
        <v>0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1</v>
      </c>
      <c r="L168" s="4" t="b">
        <f t="shared" si="12"/>
        <v>0</v>
      </c>
      <c r="M168" s="4" t="b">
        <f t="shared" si="13"/>
        <v>0</v>
      </c>
      <c r="N168" s="4" t="b">
        <f t="shared" si="14"/>
        <v>0</v>
      </c>
      <c r="O168" s="4" t="b">
        <f t="shared" si="15"/>
        <v>0</v>
      </c>
      <c r="P168" s="4" t="b">
        <f t="shared" si="16"/>
        <v>0</v>
      </c>
      <c r="Q168" s="4" t="b">
        <f t="shared" si="17"/>
        <v>1</v>
      </c>
    </row>
    <row r="169" spans="2:17" ht="15" x14ac:dyDescent="0.2">
      <c r="B169">
        <v>1</v>
      </c>
      <c r="C169">
        <v>0</v>
      </c>
      <c r="D169">
        <v>1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L169" s="4" t="b">
        <f t="shared" si="12"/>
        <v>0</v>
      </c>
      <c r="M169" s="4" t="b">
        <f t="shared" si="13"/>
        <v>0</v>
      </c>
      <c r="N169" s="4" t="b">
        <f t="shared" si="14"/>
        <v>0</v>
      </c>
      <c r="O169" s="4" t="b">
        <f t="shared" si="15"/>
        <v>0</v>
      </c>
      <c r="P169" s="4" t="b">
        <f t="shared" si="16"/>
        <v>0</v>
      </c>
      <c r="Q169" s="4" t="b">
        <f t="shared" si="17"/>
        <v>0</v>
      </c>
    </row>
    <row r="170" spans="2:17" ht="15" x14ac:dyDescent="0.2">
      <c r="B170">
        <v>1</v>
      </c>
      <c r="C170">
        <v>0</v>
      </c>
      <c r="D170">
        <v>1</v>
      </c>
      <c r="E170">
        <v>0</v>
      </c>
      <c r="F170">
        <v>1</v>
      </c>
      <c r="G170">
        <v>0</v>
      </c>
      <c r="H170">
        <v>1</v>
      </c>
      <c r="I170">
        <v>1</v>
      </c>
      <c r="J170">
        <v>1</v>
      </c>
      <c r="L170" s="4" t="b">
        <f t="shared" si="12"/>
        <v>0</v>
      </c>
      <c r="M170" s="4" t="b">
        <f t="shared" si="13"/>
        <v>0</v>
      </c>
      <c r="N170" s="4" t="b">
        <f t="shared" si="14"/>
        <v>1</v>
      </c>
      <c r="O170" s="4" t="b">
        <f t="shared" si="15"/>
        <v>0</v>
      </c>
      <c r="P170" s="4" t="b">
        <f t="shared" si="16"/>
        <v>0</v>
      </c>
      <c r="Q170" s="4" t="b">
        <f t="shared" si="17"/>
        <v>0</v>
      </c>
    </row>
    <row r="171" spans="2:17" ht="15" x14ac:dyDescent="0.2">
      <c r="B171">
        <v>1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1</v>
      </c>
      <c r="J171">
        <v>0</v>
      </c>
      <c r="L171" s="4" t="b">
        <f t="shared" si="12"/>
        <v>0</v>
      </c>
      <c r="M171" s="4" t="b">
        <f t="shared" si="13"/>
        <v>0</v>
      </c>
      <c r="N171" s="4" t="b">
        <f t="shared" si="14"/>
        <v>0</v>
      </c>
      <c r="O171" s="4" t="b">
        <f t="shared" si="15"/>
        <v>0</v>
      </c>
      <c r="P171" s="4" t="b">
        <f t="shared" si="16"/>
        <v>0</v>
      </c>
      <c r="Q171" s="4" t="b">
        <f t="shared" si="17"/>
        <v>0</v>
      </c>
    </row>
    <row r="172" spans="2:17" ht="15" x14ac:dyDescent="0.2"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1</v>
      </c>
      <c r="L172" s="4" t="b">
        <f t="shared" si="12"/>
        <v>0</v>
      </c>
      <c r="M172" s="4" t="b">
        <f t="shared" si="13"/>
        <v>0</v>
      </c>
      <c r="N172" s="4" t="b">
        <f t="shared" si="14"/>
        <v>0</v>
      </c>
      <c r="O172" s="4" t="b">
        <f t="shared" si="15"/>
        <v>0</v>
      </c>
      <c r="P172" s="4" t="b">
        <f t="shared" si="16"/>
        <v>0</v>
      </c>
      <c r="Q172" s="4" t="b">
        <f t="shared" si="17"/>
        <v>0</v>
      </c>
    </row>
    <row r="173" spans="2:17" ht="15" x14ac:dyDescent="0.2">
      <c r="B173">
        <v>1</v>
      </c>
      <c r="C173">
        <v>0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L173" s="4" t="b">
        <f t="shared" si="12"/>
        <v>0</v>
      </c>
      <c r="M173" s="4" t="b">
        <f t="shared" si="13"/>
        <v>0</v>
      </c>
      <c r="N173" s="4" t="b">
        <f t="shared" si="14"/>
        <v>0</v>
      </c>
      <c r="O173" s="4" t="b">
        <f t="shared" si="15"/>
        <v>0</v>
      </c>
      <c r="P173" s="4" t="b">
        <f t="shared" si="16"/>
        <v>0</v>
      </c>
      <c r="Q173" s="4" t="b">
        <f t="shared" si="17"/>
        <v>0</v>
      </c>
    </row>
    <row r="174" spans="2:17" ht="15" x14ac:dyDescent="0.2">
      <c r="B174">
        <v>1</v>
      </c>
      <c r="C174">
        <v>0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1</v>
      </c>
      <c r="L174" s="4" t="b">
        <f t="shared" si="12"/>
        <v>0</v>
      </c>
      <c r="M174" s="4" t="b">
        <f t="shared" si="13"/>
        <v>0</v>
      </c>
      <c r="N174" s="4" t="b">
        <f t="shared" si="14"/>
        <v>0</v>
      </c>
      <c r="O174" s="4" t="b">
        <f t="shared" si="15"/>
        <v>0</v>
      </c>
      <c r="P174" s="4" t="b">
        <f t="shared" si="16"/>
        <v>0</v>
      </c>
      <c r="Q174" s="4" t="b">
        <f t="shared" si="17"/>
        <v>0</v>
      </c>
    </row>
    <row r="175" spans="2:17" ht="15" x14ac:dyDescent="0.2">
      <c r="B175">
        <v>1</v>
      </c>
      <c r="C175">
        <v>0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L175" s="4" t="b">
        <f t="shared" si="12"/>
        <v>0</v>
      </c>
      <c r="M175" s="4" t="b">
        <f t="shared" si="13"/>
        <v>0</v>
      </c>
      <c r="N175" s="4" t="b">
        <f t="shared" si="14"/>
        <v>0</v>
      </c>
      <c r="O175" s="4" t="b">
        <f t="shared" si="15"/>
        <v>0</v>
      </c>
      <c r="P175" s="4" t="b">
        <f t="shared" si="16"/>
        <v>0</v>
      </c>
      <c r="Q175" s="4" t="b">
        <f t="shared" si="17"/>
        <v>0</v>
      </c>
    </row>
    <row r="176" spans="2:17" ht="15" x14ac:dyDescent="0.2">
      <c r="B176">
        <v>1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1</v>
      </c>
      <c r="L176" s="4" t="b">
        <f t="shared" si="12"/>
        <v>0</v>
      </c>
      <c r="M176" s="4" t="b">
        <f t="shared" si="13"/>
        <v>0</v>
      </c>
      <c r="N176" s="4" t="b">
        <f t="shared" si="14"/>
        <v>0</v>
      </c>
      <c r="O176" s="4" t="b">
        <f t="shared" si="15"/>
        <v>0</v>
      </c>
      <c r="P176" s="4" t="b">
        <f t="shared" si="16"/>
        <v>0</v>
      </c>
      <c r="Q176" s="4" t="b">
        <f t="shared" si="17"/>
        <v>0</v>
      </c>
    </row>
    <row r="177" spans="2:17" ht="15" x14ac:dyDescent="0.2">
      <c r="B177">
        <v>1</v>
      </c>
      <c r="C177">
        <v>0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L177" s="4" t="b">
        <f t="shared" si="12"/>
        <v>0</v>
      </c>
      <c r="M177" s="4" t="b">
        <f t="shared" si="13"/>
        <v>0</v>
      </c>
      <c r="N177" s="4" t="b">
        <f t="shared" si="14"/>
        <v>0</v>
      </c>
      <c r="O177" s="4" t="b">
        <f t="shared" si="15"/>
        <v>0</v>
      </c>
      <c r="P177" s="4" t="b">
        <f t="shared" si="16"/>
        <v>0</v>
      </c>
      <c r="Q177" s="4" t="b">
        <f t="shared" si="17"/>
        <v>0</v>
      </c>
    </row>
    <row r="178" spans="2:17" ht="15" x14ac:dyDescent="0.2">
      <c r="B178">
        <v>1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1</v>
      </c>
      <c r="I178">
        <v>1</v>
      </c>
      <c r="J178">
        <v>1</v>
      </c>
      <c r="L178" s="4" t="b">
        <f t="shared" si="12"/>
        <v>0</v>
      </c>
      <c r="M178" s="4" t="b">
        <f t="shared" si="13"/>
        <v>0</v>
      </c>
      <c r="N178" s="4" t="b">
        <f t="shared" si="14"/>
        <v>1</v>
      </c>
      <c r="O178" s="4" t="b">
        <f t="shared" si="15"/>
        <v>0</v>
      </c>
      <c r="P178" s="4" t="b">
        <f t="shared" si="16"/>
        <v>0</v>
      </c>
      <c r="Q178" s="4" t="b">
        <f t="shared" si="17"/>
        <v>1</v>
      </c>
    </row>
    <row r="179" spans="2:17" ht="15" x14ac:dyDescent="0.2">
      <c r="B179">
        <v>1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1</v>
      </c>
      <c r="J179">
        <v>0</v>
      </c>
      <c r="L179" s="4" t="b">
        <f t="shared" si="12"/>
        <v>0</v>
      </c>
      <c r="M179" s="4" t="b">
        <f t="shared" si="13"/>
        <v>0</v>
      </c>
      <c r="N179" s="4" t="b">
        <f t="shared" si="14"/>
        <v>0</v>
      </c>
      <c r="O179" s="4" t="b">
        <f t="shared" si="15"/>
        <v>0</v>
      </c>
      <c r="P179" s="4" t="b">
        <f t="shared" si="16"/>
        <v>0</v>
      </c>
      <c r="Q179" s="4" t="b">
        <f t="shared" si="17"/>
        <v>0</v>
      </c>
    </row>
    <row r="180" spans="2:17" ht="15" x14ac:dyDescent="0.2">
      <c r="B180">
        <v>1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1</v>
      </c>
      <c r="L180" s="4" t="b">
        <f t="shared" si="12"/>
        <v>0</v>
      </c>
      <c r="M180" s="4" t="b">
        <f t="shared" si="13"/>
        <v>0</v>
      </c>
      <c r="N180" s="4" t="b">
        <f t="shared" si="14"/>
        <v>0</v>
      </c>
      <c r="O180" s="4" t="b">
        <f t="shared" si="15"/>
        <v>0</v>
      </c>
      <c r="P180" s="4" t="b">
        <f t="shared" si="16"/>
        <v>0</v>
      </c>
      <c r="Q180" s="4" t="b">
        <f t="shared" si="17"/>
        <v>1</v>
      </c>
    </row>
    <row r="181" spans="2:17" ht="15" x14ac:dyDescent="0.2">
      <c r="B181">
        <v>1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L181" s="4" t="b">
        <f t="shared" si="12"/>
        <v>0</v>
      </c>
      <c r="M181" s="4" t="b">
        <f t="shared" si="13"/>
        <v>0</v>
      </c>
      <c r="N181" s="4" t="b">
        <f t="shared" si="14"/>
        <v>0</v>
      </c>
      <c r="O181" s="4" t="b">
        <f t="shared" si="15"/>
        <v>0</v>
      </c>
      <c r="P181" s="4" t="b">
        <f t="shared" si="16"/>
        <v>0</v>
      </c>
      <c r="Q181" s="4" t="b">
        <f t="shared" si="17"/>
        <v>0</v>
      </c>
    </row>
    <row r="182" spans="2:17" ht="15" x14ac:dyDescent="0.2">
      <c r="B182">
        <v>1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1</v>
      </c>
      <c r="L182" s="4" t="b">
        <f t="shared" si="12"/>
        <v>0</v>
      </c>
      <c r="M182" s="4" t="b">
        <f t="shared" si="13"/>
        <v>0</v>
      </c>
      <c r="N182" s="4" t="b">
        <f t="shared" si="14"/>
        <v>0</v>
      </c>
      <c r="O182" s="4" t="b">
        <f t="shared" si="15"/>
        <v>0</v>
      </c>
      <c r="P182" s="4" t="b">
        <f t="shared" si="16"/>
        <v>0</v>
      </c>
      <c r="Q182" s="4" t="b">
        <f t="shared" si="17"/>
        <v>1</v>
      </c>
    </row>
    <row r="183" spans="2:17" ht="15" x14ac:dyDescent="0.2">
      <c r="B183">
        <v>1</v>
      </c>
      <c r="C183">
        <v>0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0</v>
      </c>
      <c r="L183" s="4" t="b">
        <f t="shared" si="12"/>
        <v>0</v>
      </c>
      <c r="M183" s="4" t="b">
        <f t="shared" si="13"/>
        <v>0</v>
      </c>
      <c r="N183" s="4" t="b">
        <f t="shared" si="14"/>
        <v>0</v>
      </c>
      <c r="O183" s="4" t="b">
        <f t="shared" si="15"/>
        <v>0</v>
      </c>
      <c r="P183" s="4" t="b">
        <f t="shared" si="16"/>
        <v>0</v>
      </c>
      <c r="Q183" s="4" t="b">
        <f t="shared" si="17"/>
        <v>0</v>
      </c>
    </row>
    <row r="184" spans="2:17" ht="15" x14ac:dyDescent="0.2">
      <c r="B184">
        <v>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L184" s="4" t="b">
        <f t="shared" si="12"/>
        <v>0</v>
      </c>
      <c r="M184" s="4" t="b">
        <f t="shared" si="13"/>
        <v>0</v>
      </c>
      <c r="N184" s="4" t="b">
        <f t="shared" si="14"/>
        <v>0</v>
      </c>
      <c r="O184" s="4" t="b">
        <f t="shared" si="15"/>
        <v>0</v>
      </c>
      <c r="P184" s="4" t="b">
        <f t="shared" si="16"/>
        <v>0</v>
      </c>
      <c r="Q184" s="4" t="b">
        <f t="shared" si="17"/>
        <v>1</v>
      </c>
    </row>
    <row r="185" spans="2:17" ht="15" x14ac:dyDescent="0.2">
      <c r="B185">
        <v>1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L185" s="4" t="b">
        <f t="shared" si="12"/>
        <v>0</v>
      </c>
      <c r="M185" s="4" t="b">
        <f t="shared" si="13"/>
        <v>0</v>
      </c>
      <c r="N185" s="4" t="b">
        <f t="shared" si="14"/>
        <v>0</v>
      </c>
      <c r="O185" s="4" t="b">
        <f t="shared" si="15"/>
        <v>0</v>
      </c>
      <c r="P185" s="4" t="b">
        <f t="shared" si="16"/>
        <v>0</v>
      </c>
      <c r="Q185" s="4" t="b">
        <f t="shared" si="17"/>
        <v>0</v>
      </c>
    </row>
    <row r="186" spans="2:17" ht="15" x14ac:dyDescent="0.2">
      <c r="B186">
        <v>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L186" s="4" t="b">
        <f t="shared" si="12"/>
        <v>0</v>
      </c>
      <c r="M186" s="4" t="b">
        <f t="shared" si="13"/>
        <v>0</v>
      </c>
      <c r="N186" s="4" t="b">
        <f t="shared" si="14"/>
        <v>1</v>
      </c>
      <c r="O186" s="4" t="b">
        <f t="shared" si="15"/>
        <v>0</v>
      </c>
      <c r="P186" s="4" t="b">
        <f t="shared" si="16"/>
        <v>0</v>
      </c>
      <c r="Q186" s="4" t="b">
        <f t="shared" si="17"/>
        <v>0</v>
      </c>
    </row>
    <row r="187" spans="2:17" ht="15" x14ac:dyDescent="0.2">
      <c r="B187">
        <v>1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L187" s="4" t="b">
        <f t="shared" si="12"/>
        <v>0</v>
      </c>
      <c r="M187" s="4" t="b">
        <f t="shared" si="13"/>
        <v>0</v>
      </c>
      <c r="N187" s="4" t="b">
        <f t="shared" si="14"/>
        <v>0</v>
      </c>
      <c r="O187" s="4" t="b">
        <f t="shared" si="15"/>
        <v>0</v>
      </c>
      <c r="P187" s="4" t="b">
        <f t="shared" si="16"/>
        <v>0</v>
      </c>
      <c r="Q187" s="4" t="b">
        <f t="shared" si="17"/>
        <v>0</v>
      </c>
    </row>
    <row r="188" spans="2:17" ht="15" x14ac:dyDescent="0.2"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1</v>
      </c>
      <c r="L188" s="4" t="b">
        <f t="shared" si="12"/>
        <v>0</v>
      </c>
      <c r="M188" s="4" t="b">
        <f t="shared" si="13"/>
        <v>0</v>
      </c>
      <c r="N188" s="4" t="b">
        <f t="shared" si="14"/>
        <v>0</v>
      </c>
      <c r="O188" s="4" t="b">
        <f t="shared" si="15"/>
        <v>0</v>
      </c>
      <c r="P188" s="4" t="b">
        <f t="shared" si="16"/>
        <v>0</v>
      </c>
      <c r="Q188" s="4" t="b">
        <f t="shared" si="17"/>
        <v>0</v>
      </c>
    </row>
    <row r="189" spans="2:17" ht="15" x14ac:dyDescent="0.2">
      <c r="B189">
        <v>1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L189" s="4" t="b">
        <f t="shared" si="12"/>
        <v>0</v>
      </c>
      <c r="M189" s="4" t="b">
        <f t="shared" si="13"/>
        <v>0</v>
      </c>
      <c r="N189" s="4" t="b">
        <f t="shared" si="14"/>
        <v>0</v>
      </c>
      <c r="O189" s="4" t="b">
        <f t="shared" si="15"/>
        <v>0</v>
      </c>
      <c r="P189" s="4" t="b">
        <f t="shared" si="16"/>
        <v>0</v>
      </c>
      <c r="Q189" s="4" t="b">
        <f t="shared" si="17"/>
        <v>0</v>
      </c>
    </row>
    <row r="190" spans="2:17" ht="15" x14ac:dyDescent="0.2"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L190" s="4" t="b">
        <f t="shared" si="12"/>
        <v>0</v>
      </c>
      <c r="M190" s="4" t="b">
        <f t="shared" si="13"/>
        <v>0</v>
      </c>
      <c r="N190" s="4" t="b">
        <f t="shared" si="14"/>
        <v>0</v>
      </c>
      <c r="O190" s="4" t="b">
        <f t="shared" si="15"/>
        <v>0</v>
      </c>
      <c r="P190" s="4" t="b">
        <f t="shared" si="16"/>
        <v>0</v>
      </c>
      <c r="Q190" s="4" t="b">
        <f t="shared" si="17"/>
        <v>0</v>
      </c>
    </row>
    <row r="191" spans="2:17" ht="15" x14ac:dyDescent="0.2"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L191" s="4" t="b">
        <f t="shared" si="12"/>
        <v>0</v>
      </c>
      <c r="M191" s="4" t="b">
        <f t="shared" si="13"/>
        <v>0</v>
      </c>
      <c r="N191" s="4" t="b">
        <f t="shared" si="14"/>
        <v>0</v>
      </c>
      <c r="O191" s="4" t="b">
        <f t="shared" si="15"/>
        <v>0</v>
      </c>
      <c r="P191" s="4" t="b">
        <f t="shared" si="16"/>
        <v>0</v>
      </c>
      <c r="Q191" s="4" t="b">
        <f t="shared" si="17"/>
        <v>0</v>
      </c>
    </row>
    <row r="192" spans="2:17" ht="15" x14ac:dyDescent="0.2">
      <c r="B192">
        <v>1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L192" s="4" t="b">
        <f t="shared" si="12"/>
        <v>0</v>
      </c>
      <c r="M192" s="4" t="b">
        <f t="shared" si="13"/>
        <v>0</v>
      </c>
      <c r="N192" s="4" t="b">
        <f t="shared" si="14"/>
        <v>0</v>
      </c>
      <c r="O192" s="4" t="b">
        <f t="shared" si="15"/>
        <v>0</v>
      </c>
      <c r="P192" s="4" t="b">
        <f t="shared" si="16"/>
        <v>0</v>
      </c>
      <c r="Q192" s="4" t="b">
        <f t="shared" si="17"/>
        <v>0</v>
      </c>
    </row>
    <row r="193" spans="2:17" ht="15" x14ac:dyDescent="0.2"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L193" s="4" t="b">
        <f t="shared" si="12"/>
        <v>0</v>
      </c>
      <c r="M193" s="4" t="b">
        <f t="shared" si="13"/>
        <v>0</v>
      </c>
      <c r="N193" s="4" t="b">
        <f t="shared" si="14"/>
        <v>0</v>
      </c>
      <c r="O193" s="4" t="b">
        <f t="shared" si="15"/>
        <v>0</v>
      </c>
      <c r="P193" s="4" t="b">
        <f t="shared" si="16"/>
        <v>0</v>
      </c>
      <c r="Q193" s="4" t="b">
        <f t="shared" si="17"/>
        <v>0</v>
      </c>
    </row>
    <row r="194" spans="2:17" ht="15" x14ac:dyDescent="0.2">
      <c r="B194">
        <v>1</v>
      </c>
      <c r="C194">
        <v>0</v>
      </c>
      <c r="D194">
        <v>0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L194" s="4" t="b">
        <f t="shared" ref="L194:L257" si="18">AND($B194&gt;=$V$2,$C194&gt;=$W$2,$D194&gt;=$X$2,$E194&gt;=$Y$2,$F194&gt;=$Z$2,$G194&gt;=$AA$2,$H194&gt;=$AB$2,$I194&gt;=$AC$2,$J194&gt;=$AD$2)</f>
        <v>0</v>
      </c>
      <c r="M194" s="4" t="b">
        <f t="shared" ref="M194:M257" si="19">AND($B194&gt;=$V$3,$C194&gt;=$W$3,$D194&gt;=$X$3,$E194&gt;=$Y$3,$F194&gt;=$Z$3,$G194&gt;=$AA$3,$H194&gt;=$AB$3,$I194&gt;=$AC$3,$J194&gt;=$AD$3)</f>
        <v>1</v>
      </c>
      <c r="N194" s="4" t="b">
        <f t="shared" ref="N194:N257" si="20">AND($B194&gt;=$V$4,$C194&gt;=$W$4,$D194&gt;=$X$4,$E194&gt;=$Y$4,$F194&gt;=$Z$4,$G194&gt;=$AA$4,$H194&gt;=$AB$4,$I194&gt;=$AC$4,$J194&gt;=$AD$4)</f>
        <v>1</v>
      </c>
      <c r="O194" s="4" t="b">
        <f t="shared" ref="O194:O257" si="21">AND($B194&gt;=$V$5,$C194&gt;=$W$5,$D194&gt;=$X$5,$E194&gt;=$Y$5,$F194&gt;=$Z$5,$G194&gt;=$AA$5,$H194&gt;=$AB$5,$I194&gt;=$AC$5,$J194&gt;=$AD$5)</f>
        <v>1</v>
      </c>
      <c r="P194" s="4" t="b">
        <f t="shared" ref="P194:P257" si="22">AND($B194&gt;=$V$6,$C194&gt;=$W$6,$D194&gt;=$X$6,$E194&gt;=$Y$6,$F194&gt;=$Z$6,$G194&gt;=$AA$6,$H194&gt;=$AB$6,$I194&gt;=$AC$6,$J194&gt;=$AD$6)</f>
        <v>0</v>
      </c>
      <c r="Q194" s="4" t="b">
        <f t="shared" ref="Q194:Q257" si="23">AND($B194&gt;=$V$7,$C194&gt;=$W$7,$D194&gt;=$X$7,$E194&gt;=$Y$7,$F194&gt;=$Z$7,$G194&gt;=$AA$7,$H194&gt;=$AB$7,$I194&gt;=$AC$7,$J194&gt;=$AD$7)</f>
        <v>0</v>
      </c>
    </row>
    <row r="195" spans="2:17" ht="15" x14ac:dyDescent="0.2">
      <c r="B195">
        <v>1</v>
      </c>
      <c r="C195">
        <v>0</v>
      </c>
      <c r="D195">
        <v>0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  <c r="L195" s="4" t="b">
        <f t="shared" si="18"/>
        <v>0</v>
      </c>
      <c r="M195" s="4" t="b">
        <f t="shared" si="19"/>
        <v>1</v>
      </c>
      <c r="N195" s="4" t="b">
        <f t="shared" si="20"/>
        <v>0</v>
      </c>
      <c r="O195" s="4" t="b">
        <f t="shared" si="21"/>
        <v>1</v>
      </c>
      <c r="P195" s="4" t="b">
        <f t="shared" si="22"/>
        <v>0</v>
      </c>
      <c r="Q195" s="4" t="b">
        <f t="shared" si="23"/>
        <v>0</v>
      </c>
    </row>
    <row r="196" spans="2:17" ht="15" x14ac:dyDescent="0.2">
      <c r="B196">
        <v>1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  <c r="L196" s="4" t="b">
        <f t="shared" si="18"/>
        <v>0</v>
      </c>
      <c r="M196" s="4" t="b">
        <f t="shared" si="19"/>
        <v>1</v>
      </c>
      <c r="N196" s="4" t="b">
        <f t="shared" si="20"/>
        <v>0</v>
      </c>
      <c r="O196" s="4" t="b">
        <f t="shared" si="21"/>
        <v>1</v>
      </c>
      <c r="P196" s="4" t="b">
        <f t="shared" si="22"/>
        <v>0</v>
      </c>
      <c r="Q196" s="4" t="b">
        <f t="shared" si="23"/>
        <v>0</v>
      </c>
    </row>
    <row r="197" spans="2:17" ht="15" x14ac:dyDescent="0.2">
      <c r="B197">
        <v>1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0</v>
      </c>
      <c r="L197" s="4" t="b">
        <f t="shared" si="18"/>
        <v>0</v>
      </c>
      <c r="M197" s="4" t="b">
        <f t="shared" si="19"/>
        <v>1</v>
      </c>
      <c r="N197" s="4" t="b">
        <f t="shared" si="20"/>
        <v>0</v>
      </c>
      <c r="O197" s="4" t="b">
        <f t="shared" si="21"/>
        <v>1</v>
      </c>
      <c r="P197" s="4" t="b">
        <f t="shared" si="22"/>
        <v>0</v>
      </c>
      <c r="Q197" s="4" t="b">
        <f t="shared" si="23"/>
        <v>0</v>
      </c>
    </row>
    <row r="198" spans="2:17" ht="15" x14ac:dyDescent="0.2">
      <c r="B198">
        <v>1</v>
      </c>
      <c r="C198">
        <v>0</v>
      </c>
      <c r="D198">
        <v>0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L198" s="4" t="b">
        <f t="shared" si="18"/>
        <v>0</v>
      </c>
      <c r="M198" s="4" t="b">
        <f t="shared" si="19"/>
        <v>1</v>
      </c>
      <c r="N198" s="4" t="b">
        <f t="shared" si="20"/>
        <v>0</v>
      </c>
      <c r="O198" s="4" t="b">
        <f t="shared" si="21"/>
        <v>0</v>
      </c>
      <c r="P198" s="4" t="b">
        <f t="shared" si="22"/>
        <v>0</v>
      </c>
      <c r="Q198" s="4" t="b">
        <f t="shared" si="23"/>
        <v>0</v>
      </c>
    </row>
    <row r="199" spans="2:17" ht="15" x14ac:dyDescent="0.2">
      <c r="B199">
        <v>1</v>
      </c>
      <c r="C199">
        <v>0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1</v>
      </c>
      <c r="J199">
        <v>0</v>
      </c>
      <c r="L199" s="4" t="b">
        <f t="shared" si="18"/>
        <v>0</v>
      </c>
      <c r="M199" s="4" t="b">
        <f t="shared" si="19"/>
        <v>1</v>
      </c>
      <c r="N199" s="4" t="b">
        <f t="shared" si="20"/>
        <v>0</v>
      </c>
      <c r="O199" s="4" t="b">
        <f t="shared" si="21"/>
        <v>0</v>
      </c>
      <c r="P199" s="4" t="b">
        <f t="shared" si="22"/>
        <v>0</v>
      </c>
      <c r="Q199" s="4" t="b">
        <f t="shared" si="23"/>
        <v>0</v>
      </c>
    </row>
    <row r="200" spans="2:17" ht="15" x14ac:dyDescent="0.2">
      <c r="B200">
        <v>1</v>
      </c>
      <c r="C200">
        <v>0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0</v>
      </c>
      <c r="J200">
        <v>1</v>
      </c>
      <c r="L200" s="4" t="b">
        <f t="shared" si="18"/>
        <v>0</v>
      </c>
      <c r="M200" s="4" t="b">
        <f t="shared" si="19"/>
        <v>1</v>
      </c>
      <c r="N200" s="4" t="b">
        <f t="shared" si="20"/>
        <v>0</v>
      </c>
      <c r="O200" s="4" t="b">
        <f t="shared" si="21"/>
        <v>0</v>
      </c>
      <c r="P200" s="4" t="b">
        <f t="shared" si="22"/>
        <v>0</v>
      </c>
      <c r="Q200" s="4" t="b">
        <f t="shared" si="23"/>
        <v>0</v>
      </c>
    </row>
    <row r="201" spans="2:17" ht="15" x14ac:dyDescent="0.2">
      <c r="B201">
        <v>1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0</v>
      </c>
      <c r="J201">
        <v>0</v>
      </c>
      <c r="L201" s="4" t="b">
        <f t="shared" si="18"/>
        <v>0</v>
      </c>
      <c r="M201" s="4" t="b">
        <f t="shared" si="19"/>
        <v>1</v>
      </c>
      <c r="N201" s="4" t="b">
        <f t="shared" si="20"/>
        <v>0</v>
      </c>
      <c r="O201" s="4" t="b">
        <f t="shared" si="21"/>
        <v>0</v>
      </c>
      <c r="P201" s="4" t="b">
        <f t="shared" si="22"/>
        <v>0</v>
      </c>
      <c r="Q201" s="4" t="b">
        <f t="shared" si="23"/>
        <v>0</v>
      </c>
    </row>
    <row r="202" spans="2:17" ht="15" x14ac:dyDescent="0.2">
      <c r="B202">
        <v>1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1</v>
      </c>
      <c r="I202">
        <v>1</v>
      </c>
      <c r="J202">
        <v>1</v>
      </c>
      <c r="L202" s="4" t="b">
        <f t="shared" si="18"/>
        <v>0</v>
      </c>
      <c r="M202" s="4" t="b">
        <f t="shared" si="19"/>
        <v>0</v>
      </c>
      <c r="N202" s="4" t="b">
        <f t="shared" si="20"/>
        <v>1</v>
      </c>
      <c r="O202" s="4" t="b">
        <f t="shared" si="21"/>
        <v>1</v>
      </c>
      <c r="P202" s="4" t="b">
        <f t="shared" si="22"/>
        <v>0</v>
      </c>
      <c r="Q202" s="4" t="b">
        <f t="shared" si="23"/>
        <v>0</v>
      </c>
    </row>
    <row r="203" spans="2:17" ht="15" x14ac:dyDescent="0.2">
      <c r="B203">
        <v>1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L203" s="4" t="b">
        <f t="shared" si="18"/>
        <v>0</v>
      </c>
      <c r="M203" s="4" t="b">
        <f t="shared" si="19"/>
        <v>0</v>
      </c>
      <c r="N203" s="4" t="b">
        <f t="shared" si="20"/>
        <v>0</v>
      </c>
      <c r="O203" s="4" t="b">
        <f t="shared" si="21"/>
        <v>1</v>
      </c>
      <c r="P203" s="4" t="b">
        <f t="shared" si="22"/>
        <v>0</v>
      </c>
      <c r="Q203" s="4" t="b">
        <f t="shared" si="23"/>
        <v>0</v>
      </c>
    </row>
    <row r="204" spans="2:17" ht="15" x14ac:dyDescent="0.2">
      <c r="B204">
        <v>1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1</v>
      </c>
      <c r="L204" s="4" t="b">
        <f t="shared" si="18"/>
        <v>0</v>
      </c>
      <c r="M204" s="4" t="b">
        <f t="shared" si="19"/>
        <v>0</v>
      </c>
      <c r="N204" s="4" t="b">
        <f t="shared" si="20"/>
        <v>0</v>
      </c>
      <c r="O204" s="4" t="b">
        <f t="shared" si="21"/>
        <v>1</v>
      </c>
      <c r="P204" s="4" t="b">
        <f t="shared" si="22"/>
        <v>0</v>
      </c>
      <c r="Q204" s="4" t="b">
        <f t="shared" si="23"/>
        <v>0</v>
      </c>
    </row>
    <row r="205" spans="2:17" ht="15" x14ac:dyDescent="0.2">
      <c r="B205">
        <v>1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1</v>
      </c>
      <c r="I205">
        <v>0</v>
      </c>
      <c r="J205">
        <v>0</v>
      </c>
      <c r="L205" s="4" t="b">
        <f t="shared" si="18"/>
        <v>0</v>
      </c>
      <c r="M205" s="4" t="b">
        <f t="shared" si="19"/>
        <v>0</v>
      </c>
      <c r="N205" s="4" t="b">
        <f t="shared" si="20"/>
        <v>0</v>
      </c>
      <c r="O205" s="4" t="b">
        <f t="shared" si="21"/>
        <v>1</v>
      </c>
      <c r="P205" s="4" t="b">
        <f t="shared" si="22"/>
        <v>0</v>
      </c>
      <c r="Q205" s="4" t="b">
        <f t="shared" si="23"/>
        <v>0</v>
      </c>
    </row>
    <row r="206" spans="2:17" ht="15" x14ac:dyDescent="0.2">
      <c r="B206">
        <v>1</v>
      </c>
      <c r="C206">
        <v>0</v>
      </c>
      <c r="D206">
        <v>0</v>
      </c>
      <c r="E206">
        <v>1</v>
      </c>
      <c r="F206">
        <v>1</v>
      </c>
      <c r="G206">
        <v>0</v>
      </c>
      <c r="H206">
        <v>0</v>
      </c>
      <c r="I206">
        <v>1</v>
      </c>
      <c r="J206">
        <v>1</v>
      </c>
      <c r="L206" s="4" t="b">
        <f t="shared" si="18"/>
        <v>0</v>
      </c>
      <c r="M206" s="4" t="b">
        <f t="shared" si="19"/>
        <v>0</v>
      </c>
      <c r="N206" s="4" t="b">
        <f t="shared" si="20"/>
        <v>0</v>
      </c>
      <c r="O206" s="4" t="b">
        <f t="shared" si="21"/>
        <v>0</v>
      </c>
      <c r="P206" s="4" t="b">
        <f t="shared" si="22"/>
        <v>0</v>
      </c>
      <c r="Q206" s="4" t="b">
        <f t="shared" si="23"/>
        <v>0</v>
      </c>
    </row>
    <row r="207" spans="2:17" ht="15" x14ac:dyDescent="0.2">
      <c r="B207">
        <v>1</v>
      </c>
      <c r="C207">
        <v>0</v>
      </c>
      <c r="D207">
        <v>0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0</v>
      </c>
      <c r="L207" s="4" t="b">
        <f t="shared" si="18"/>
        <v>0</v>
      </c>
      <c r="M207" s="4" t="b">
        <f t="shared" si="19"/>
        <v>0</v>
      </c>
      <c r="N207" s="4" t="b">
        <f t="shared" si="20"/>
        <v>0</v>
      </c>
      <c r="O207" s="4" t="b">
        <f t="shared" si="21"/>
        <v>0</v>
      </c>
      <c r="P207" s="4" t="b">
        <f t="shared" si="22"/>
        <v>0</v>
      </c>
      <c r="Q207" s="4" t="b">
        <f t="shared" si="23"/>
        <v>0</v>
      </c>
    </row>
    <row r="208" spans="2:17" ht="15" x14ac:dyDescent="0.2">
      <c r="B208">
        <v>1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L208" s="4" t="b">
        <f t="shared" si="18"/>
        <v>0</v>
      </c>
      <c r="M208" s="4" t="b">
        <f t="shared" si="19"/>
        <v>0</v>
      </c>
      <c r="N208" s="4" t="b">
        <f t="shared" si="20"/>
        <v>0</v>
      </c>
      <c r="O208" s="4" t="b">
        <f t="shared" si="21"/>
        <v>0</v>
      </c>
      <c r="P208" s="4" t="b">
        <f t="shared" si="22"/>
        <v>0</v>
      </c>
      <c r="Q208" s="4" t="b">
        <f t="shared" si="23"/>
        <v>0</v>
      </c>
    </row>
    <row r="209" spans="2:17" ht="15" x14ac:dyDescent="0.2">
      <c r="B209">
        <v>1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L209" s="4" t="b">
        <f t="shared" si="18"/>
        <v>0</v>
      </c>
      <c r="M209" s="4" t="b">
        <f t="shared" si="19"/>
        <v>0</v>
      </c>
      <c r="N209" s="4" t="b">
        <f t="shared" si="20"/>
        <v>0</v>
      </c>
      <c r="O209" s="4" t="b">
        <f t="shared" si="21"/>
        <v>0</v>
      </c>
      <c r="P209" s="4" t="b">
        <f t="shared" si="22"/>
        <v>0</v>
      </c>
      <c r="Q209" s="4" t="b">
        <f t="shared" si="23"/>
        <v>0</v>
      </c>
    </row>
    <row r="210" spans="2:17" ht="15" x14ac:dyDescent="0.2">
      <c r="B210">
        <v>1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1</v>
      </c>
      <c r="L210" s="4" t="b">
        <f t="shared" si="18"/>
        <v>0</v>
      </c>
      <c r="M210" s="4" t="b">
        <f t="shared" si="19"/>
        <v>0</v>
      </c>
      <c r="N210" s="4" t="b">
        <f t="shared" si="20"/>
        <v>1</v>
      </c>
      <c r="O210" s="4" t="b">
        <f t="shared" si="21"/>
        <v>1</v>
      </c>
      <c r="P210" s="4" t="b">
        <f t="shared" si="22"/>
        <v>0</v>
      </c>
      <c r="Q210" s="4" t="b">
        <f t="shared" si="23"/>
        <v>0</v>
      </c>
    </row>
    <row r="211" spans="2:17" ht="15" x14ac:dyDescent="0.2">
      <c r="B211">
        <v>1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1</v>
      </c>
      <c r="I211">
        <v>1</v>
      </c>
      <c r="J211">
        <v>0</v>
      </c>
      <c r="L211" s="4" t="b">
        <f t="shared" si="18"/>
        <v>0</v>
      </c>
      <c r="M211" s="4" t="b">
        <f t="shared" si="19"/>
        <v>0</v>
      </c>
      <c r="N211" s="4" t="b">
        <f t="shared" si="20"/>
        <v>0</v>
      </c>
      <c r="O211" s="4" t="b">
        <f t="shared" si="21"/>
        <v>1</v>
      </c>
      <c r="P211" s="4" t="b">
        <f t="shared" si="22"/>
        <v>0</v>
      </c>
      <c r="Q211" s="4" t="b">
        <f t="shared" si="23"/>
        <v>0</v>
      </c>
    </row>
    <row r="212" spans="2:17" ht="15" x14ac:dyDescent="0.2">
      <c r="B212">
        <v>1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0</v>
      </c>
      <c r="J212">
        <v>1</v>
      </c>
      <c r="L212" s="4" t="b">
        <f t="shared" si="18"/>
        <v>0</v>
      </c>
      <c r="M212" s="4" t="b">
        <f t="shared" si="19"/>
        <v>0</v>
      </c>
      <c r="N212" s="4" t="b">
        <f t="shared" si="20"/>
        <v>0</v>
      </c>
      <c r="O212" s="4" t="b">
        <f t="shared" si="21"/>
        <v>1</v>
      </c>
      <c r="P212" s="4" t="b">
        <f t="shared" si="22"/>
        <v>0</v>
      </c>
      <c r="Q212" s="4" t="b">
        <f t="shared" si="23"/>
        <v>0</v>
      </c>
    </row>
    <row r="213" spans="2:17" ht="15" x14ac:dyDescent="0.2">
      <c r="B213">
        <v>1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>
        <v>0</v>
      </c>
      <c r="J213">
        <v>0</v>
      </c>
      <c r="L213" s="4" t="b">
        <f t="shared" si="18"/>
        <v>0</v>
      </c>
      <c r="M213" s="4" t="b">
        <f t="shared" si="19"/>
        <v>0</v>
      </c>
      <c r="N213" s="4" t="b">
        <f t="shared" si="20"/>
        <v>0</v>
      </c>
      <c r="O213" s="4" t="b">
        <f t="shared" si="21"/>
        <v>1</v>
      </c>
      <c r="P213" s="4" t="b">
        <f t="shared" si="22"/>
        <v>0</v>
      </c>
      <c r="Q213" s="4" t="b">
        <f t="shared" si="23"/>
        <v>0</v>
      </c>
    </row>
    <row r="214" spans="2:17" ht="15" x14ac:dyDescent="0.2">
      <c r="B214">
        <v>1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1</v>
      </c>
      <c r="J214">
        <v>1</v>
      </c>
      <c r="L214" s="4" t="b">
        <f t="shared" si="18"/>
        <v>0</v>
      </c>
      <c r="M214" s="4" t="b">
        <f t="shared" si="19"/>
        <v>0</v>
      </c>
      <c r="N214" s="4" t="b">
        <f t="shared" si="20"/>
        <v>0</v>
      </c>
      <c r="O214" s="4" t="b">
        <f t="shared" si="21"/>
        <v>0</v>
      </c>
      <c r="P214" s="4" t="b">
        <f t="shared" si="22"/>
        <v>0</v>
      </c>
      <c r="Q214" s="4" t="b">
        <f t="shared" si="23"/>
        <v>0</v>
      </c>
    </row>
    <row r="215" spans="2:17" ht="15" x14ac:dyDescent="0.2">
      <c r="B215">
        <v>1</v>
      </c>
      <c r="C215">
        <v>0</v>
      </c>
      <c r="D215">
        <v>0</v>
      </c>
      <c r="E215">
        <v>1</v>
      </c>
      <c r="F215">
        <v>0</v>
      </c>
      <c r="G215">
        <v>1</v>
      </c>
      <c r="H215">
        <v>0</v>
      </c>
      <c r="I215">
        <v>1</v>
      </c>
      <c r="J215">
        <v>0</v>
      </c>
      <c r="L215" s="4" t="b">
        <f t="shared" si="18"/>
        <v>0</v>
      </c>
      <c r="M215" s="4" t="b">
        <f t="shared" si="19"/>
        <v>0</v>
      </c>
      <c r="N215" s="4" t="b">
        <f t="shared" si="20"/>
        <v>0</v>
      </c>
      <c r="O215" s="4" t="b">
        <f t="shared" si="21"/>
        <v>0</v>
      </c>
      <c r="P215" s="4" t="b">
        <f t="shared" si="22"/>
        <v>0</v>
      </c>
      <c r="Q215" s="4" t="b">
        <f t="shared" si="23"/>
        <v>0</v>
      </c>
    </row>
    <row r="216" spans="2:17" ht="15" x14ac:dyDescent="0.2">
      <c r="B216">
        <v>1</v>
      </c>
      <c r="C216">
        <v>0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1</v>
      </c>
      <c r="L216" s="4" t="b">
        <f t="shared" si="18"/>
        <v>0</v>
      </c>
      <c r="M216" s="4" t="b">
        <f t="shared" si="19"/>
        <v>0</v>
      </c>
      <c r="N216" s="4" t="b">
        <f t="shared" si="20"/>
        <v>0</v>
      </c>
      <c r="O216" s="4" t="b">
        <f t="shared" si="21"/>
        <v>0</v>
      </c>
      <c r="P216" s="4" t="b">
        <f t="shared" si="22"/>
        <v>0</v>
      </c>
      <c r="Q216" s="4" t="b">
        <f t="shared" si="23"/>
        <v>0</v>
      </c>
    </row>
    <row r="217" spans="2:17" ht="15" x14ac:dyDescent="0.2">
      <c r="B217">
        <v>1</v>
      </c>
      <c r="C217">
        <v>0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L217" s="4" t="b">
        <f t="shared" si="18"/>
        <v>0</v>
      </c>
      <c r="M217" s="4" t="b">
        <f t="shared" si="19"/>
        <v>0</v>
      </c>
      <c r="N217" s="4" t="b">
        <f t="shared" si="20"/>
        <v>0</v>
      </c>
      <c r="O217" s="4" t="b">
        <f t="shared" si="21"/>
        <v>0</v>
      </c>
      <c r="P217" s="4" t="b">
        <f t="shared" si="22"/>
        <v>0</v>
      </c>
      <c r="Q217" s="4" t="b">
        <f t="shared" si="23"/>
        <v>0</v>
      </c>
    </row>
    <row r="218" spans="2:17" ht="15" x14ac:dyDescent="0.2">
      <c r="B218">
        <v>1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1</v>
      </c>
      <c r="L218" s="4" t="b">
        <f t="shared" si="18"/>
        <v>0</v>
      </c>
      <c r="M218" s="4" t="b">
        <f t="shared" si="19"/>
        <v>0</v>
      </c>
      <c r="N218" s="4" t="b">
        <f t="shared" si="20"/>
        <v>1</v>
      </c>
      <c r="O218" s="4" t="b">
        <f t="shared" si="21"/>
        <v>1</v>
      </c>
      <c r="P218" s="4" t="b">
        <f t="shared" si="22"/>
        <v>0</v>
      </c>
      <c r="Q218" s="4" t="b">
        <f t="shared" si="23"/>
        <v>0</v>
      </c>
    </row>
    <row r="219" spans="2:17" ht="15" x14ac:dyDescent="0.2">
      <c r="B219">
        <v>1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1</v>
      </c>
      <c r="I219">
        <v>1</v>
      </c>
      <c r="J219">
        <v>0</v>
      </c>
      <c r="L219" s="4" t="b">
        <f t="shared" si="18"/>
        <v>0</v>
      </c>
      <c r="M219" s="4" t="b">
        <f t="shared" si="19"/>
        <v>0</v>
      </c>
      <c r="N219" s="4" t="b">
        <f t="shared" si="20"/>
        <v>0</v>
      </c>
      <c r="O219" s="4" t="b">
        <f t="shared" si="21"/>
        <v>1</v>
      </c>
      <c r="P219" s="4" t="b">
        <f t="shared" si="22"/>
        <v>0</v>
      </c>
      <c r="Q219" s="4" t="b">
        <f t="shared" si="23"/>
        <v>0</v>
      </c>
    </row>
    <row r="220" spans="2:17" ht="15" x14ac:dyDescent="0.2">
      <c r="B220">
        <v>1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1</v>
      </c>
      <c r="L220" s="4" t="b">
        <f t="shared" si="18"/>
        <v>0</v>
      </c>
      <c r="M220" s="4" t="b">
        <f t="shared" si="19"/>
        <v>0</v>
      </c>
      <c r="N220" s="4" t="b">
        <f t="shared" si="20"/>
        <v>0</v>
      </c>
      <c r="O220" s="4" t="b">
        <f t="shared" si="21"/>
        <v>1</v>
      </c>
      <c r="P220" s="4" t="b">
        <f t="shared" si="22"/>
        <v>0</v>
      </c>
      <c r="Q220" s="4" t="b">
        <f t="shared" si="23"/>
        <v>0</v>
      </c>
    </row>
    <row r="221" spans="2:17" ht="15" x14ac:dyDescent="0.2">
      <c r="B221">
        <v>1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L221" s="4" t="b">
        <f t="shared" si="18"/>
        <v>0</v>
      </c>
      <c r="M221" s="4" t="b">
        <f t="shared" si="19"/>
        <v>0</v>
      </c>
      <c r="N221" s="4" t="b">
        <f t="shared" si="20"/>
        <v>0</v>
      </c>
      <c r="O221" s="4" t="b">
        <f t="shared" si="21"/>
        <v>1</v>
      </c>
      <c r="P221" s="4" t="b">
        <f t="shared" si="22"/>
        <v>0</v>
      </c>
      <c r="Q221" s="4" t="b">
        <f t="shared" si="23"/>
        <v>0</v>
      </c>
    </row>
    <row r="222" spans="2:17" ht="15" x14ac:dyDescent="0.2">
      <c r="B222">
        <v>1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1</v>
      </c>
      <c r="J222">
        <v>1</v>
      </c>
      <c r="L222" s="4" t="b">
        <f t="shared" si="18"/>
        <v>0</v>
      </c>
      <c r="M222" s="4" t="b">
        <f t="shared" si="19"/>
        <v>0</v>
      </c>
      <c r="N222" s="4" t="b">
        <f t="shared" si="20"/>
        <v>0</v>
      </c>
      <c r="O222" s="4" t="b">
        <f t="shared" si="21"/>
        <v>0</v>
      </c>
      <c r="P222" s="4" t="b">
        <f t="shared" si="22"/>
        <v>0</v>
      </c>
      <c r="Q222" s="4" t="b">
        <f t="shared" si="23"/>
        <v>0</v>
      </c>
    </row>
    <row r="223" spans="2:17" ht="15" x14ac:dyDescent="0.2">
      <c r="B223">
        <v>1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L223" s="4" t="b">
        <f t="shared" si="18"/>
        <v>0</v>
      </c>
      <c r="M223" s="4" t="b">
        <f t="shared" si="19"/>
        <v>0</v>
      </c>
      <c r="N223" s="4" t="b">
        <f t="shared" si="20"/>
        <v>0</v>
      </c>
      <c r="O223" s="4" t="b">
        <f t="shared" si="21"/>
        <v>0</v>
      </c>
      <c r="P223" s="4" t="b">
        <f t="shared" si="22"/>
        <v>0</v>
      </c>
      <c r="Q223" s="4" t="b">
        <f t="shared" si="23"/>
        <v>0</v>
      </c>
    </row>
    <row r="224" spans="2:17" ht="15" x14ac:dyDescent="0.2">
      <c r="B224">
        <v>1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L224" s="4" t="b">
        <f t="shared" si="18"/>
        <v>0</v>
      </c>
      <c r="M224" s="4" t="b">
        <f t="shared" si="19"/>
        <v>0</v>
      </c>
      <c r="N224" s="4" t="b">
        <f t="shared" si="20"/>
        <v>0</v>
      </c>
      <c r="O224" s="4" t="b">
        <f t="shared" si="21"/>
        <v>0</v>
      </c>
      <c r="P224" s="4" t="b">
        <f t="shared" si="22"/>
        <v>0</v>
      </c>
      <c r="Q224" s="4" t="b">
        <f t="shared" si="23"/>
        <v>0</v>
      </c>
    </row>
    <row r="225" spans="2:17" ht="15" x14ac:dyDescent="0.2"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L225" s="4" t="b">
        <f t="shared" si="18"/>
        <v>0</v>
      </c>
      <c r="M225" s="4" t="b">
        <f t="shared" si="19"/>
        <v>0</v>
      </c>
      <c r="N225" s="4" t="b">
        <f t="shared" si="20"/>
        <v>0</v>
      </c>
      <c r="O225" s="4" t="b">
        <f t="shared" si="21"/>
        <v>0</v>
      </c>
      <c r="P225" s="4" t="b">
        <f t="shared" si="22"/>
        <v>0</v>
      </c>
      <c r="Q225" s="4" t="b">
        <f t="shared" si="23"/>
        <v>0</v>
      </c>
    </row>
    <row r="226" spans="2:17" ht="15" x14ac:dyDescent="0.2">
      <c r="B226">
        <v>1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L226" s="4" t="b">
        <f t="shared" si="18"/>
        <v>0</v>
      </c>
      <c r="M226" s="4" t="b">
        <f t="shared" si="19"/>
        <v>0</v>
      </c>
      <c r="N226" s="4" t="b">
        <f t="shared" si="20"/>
        <v>1</v>
      </c>
      <c r="O226" s="4" t="b">
        <f t="shared" si="21"/>
        <v>0</v>
      </c>
      <c r="P226" s="4" t="b">
        <f t="shared" si="22"/>
        <v>0</v>
      </c>
      <c r="Q226" s="4" t="b">
        <f t="shared" si="23"/>
        <v>0</v>
      </c>
    </row>
    <row r="227" spans="2:17" ht="15" x14ac:dyDescent="0.2">
      <c r="B227">
        <v>1</v>
      </c>
      <c r="C227">
        <v>0</v>
      </c>
      <c r="D227">
        <v>0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0</v>
      </c>
      <c r="L227" s="4" t="b">
        <f t="shared" si="18"/>
        <v>0</v>
      </c>
      <c r="M227" s="4" t="b">
        <f t="shared" si="19"/>
        <v>0</v>
      </c>
      <c r="N227" s="4" t="b">
        <f t="shared" si="20"/>
        <v>0</v>
      </c>
      <c r="O227" s="4" t="b">
        <f t="shared" si="21"/>
        <v>0</v>
      </c>
      <c r="P227" s="4" t="b">
        <f t="shared" si="22"/>
        <v>0</v>
      </c>
      <c r="Q227" s="4" t="b">
        <f t="shared" si="23"/>
        <v>0</v>
      </c>
    </row>
    <row r="228" spans="2:17" ht="15" x14ac:dyDescent="0.2">
      <c r="B228">
        <v>1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1</v>
      </c>
      <c r="L228" s="4" t="b">
        <f t="shared" si="18"/>
        <v>0</v>
      </c>
      <c r="M228" s="4" t="b">
        <f t="shared" si="19"/>
        <v>0</v>
      </c>
      <c r="N228" s="4" t="b">
        <f t="shared" si="20"/>
        <v>0</v>
      </c>
      <c r="O228" s="4" t="b">
        <f t="shared" si="21"/>
        <v>0</v>
      </c>
      <c r="P228" s="4" t="b">
        <f t="shared" si="22"/>
        <v>0</v>
      </c>
      <c r="Q228" s="4" t="b">
        <f t="shared" si="23"/>
        <v>0</v>
      </c>
    </row>
    <row r="229" spans="2:17" ht="15" x14ac:dyDescent="0.2">
      <c r="B229">
        <v>1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1</v>
      </c>
      <c r="I229">
        <v>0</v>
      </c>
      <c r="J229">
        <v>0</v>
      </c>
      <c r="L229" s="4" t="b">
        <f t="shared" si="18"/>
        <v>0</v>
      </c>
      <c r="M229" s="4" t="b">
        <f t="shared" si="19"/>
        <v>0</v>
      </c>
      <c r="N229" s="4" t="b">
        <f t="shared" si="20"/>
        <v>0</v>
      </c>
      <c r="O229" s="4" t="b">
        <f t="shared" si="21"/>
        <v>0</v>
      </c>
      <c r="P229" s="4" t="b">
        <f t="shared" si="22"/>
        <v>0</v>
      </c>
      <c r="Q229" s="4" t="b">
        <f t="shared" si="23"/>
        <v>0</v>
      </c>
    </row>
    <row r="230" spans="2:17" ht="15" x14ac:dyDescent="0.2">
      <c r="B230">
        <v>1</v>
      </c>
      <c r="C230">
        <v>0</v>
      </c>
      <c r="D230">
        <v>0</v>
      </c>
      <c r="E230">
        <v>0</v>
      </c>
      <c r="F230">
        <v>1</v>
      </c>
      <c r="G230">
        <v>1</v>
      </c>
      <c r="H230">
        <v>0</v>
      </c>
      <c r="I230">
        <v>1</v>
      </c>
      <c r="J230">
        <v>1</v>
      </c>
      <c r="L230" s="4" t="b">
        <f t="shared" si="18"/>
        <v>0</v>
      </c>
      <c r="M230" s="4" t="b">
        <f t="shared" si="19"/>
        <v>0</v>
      </c>
      <c r="N230" s="4" t="b">
        <f t="shared" si="20"/>
        <v>0</v>
      </c>
      <c r="O230" s="4" t="b">
        <f t="shared" si="21"/>
        <v>0</v>
      </c>
      <c r="P230" s="4" t="b">
        <f t="shared" si="22"/>
        <v>0</v>
      </c>
      <c r="Q230" s="4" t="b">
        <f t="shared" si="23"/>
        <v>0</v>
      </c>
    </row>
    <row r="231" spans="2:17" ht="15" x14ac:dyDescent="0.2">
      <c r="B231">
        <v>1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1</v>
      </c>
      <c r="J231">
        <v>0</v>
      </c>
      <c r="L231" s="4" t="b">
        <f t="shared" si="18"/>
        <v>0</v>
      </c>
      <c r="M231" s="4" t="b">
        <f t="shared" si="19"/>
        <v>0</v>
      </c>
      <c r="N231" s="4" t="b">
        <f t="shared" si="20"/>
        <v>0</v>
      </c>
      <c r="O231" s="4" t="b">
        <f t="shared" si="21"/>
        <v>0</v>
      </c>
      <c r="P231" s="4" t="b">
        <f t="shared" si="22"/>
        <v>0</v>
      </c>
      <c r="Q231" s="4" t="b">
        <f t="shared" si="23"/>
        <v>0</v>
      </c>
    </row>
    <row r="232" spans="2:17" ht="15" x14ac:dyDescent="0.2">
      <c r="B232">
        <v>1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1</v>
      </c>
      <c r="L232" s="4" t="b">
        <f t="shared" si="18"/>
        <v>0</v>
      </c>
      <c r="M232" s="4" t="b">
        <f t="shared" si="19"/>
        <v>0</v>
      </c>
      <c r="N232" s="4" t="b">
        <f t="shared" si="20"/>
        <v>0</v>
      </c>
      <c r="O232" s="4" t="b">
        <f t="shared" si="21"/>
        <v>0</v>
      </c>
      <c r="P232" s="4" t="b">
        <f t="shared" si="22"/>
        <v>0</v>
      </c>
      <c r="Q232" s="4" t="b">
        <f t="shared" si="23"/>
        <v>0</v>
      </c>
    </row>
    <row r="233" spans="2:17" ht="15" x14ac:dyDescent="0.2">
      <c r="B233">
        <v>1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0</v>
      </c>
      <c r="L233" s="4" t="b">
        <f t="shared" si="18"/>
        <v>0</v>
      </c>
      <c r="M233" s="4" t="b">
        <f t="shared" si="19"/>
        <v>0</v>
      </c>
      <c r="N233" s="4" t="b">
        <f t="shared" si="20"/>
        <v>0</v>
      </c>
      <c r="O233" s="4" t="b">
        <f t="shared" si="21"/>
        <v>0</v>
      </c>
      <c r="P233" s="4" t="b">
        <f t="shared" si="22"/>
        <v>0</v>
      </c>
      <c r="Q233" s="4" t="b">
        <f t="shared" si="23"/>
        <v>0</v>
      </c>
    </row>
    <row r="234" spans="2:17" ht="15" x14ac:dyDescent="0.2">
      <c r="B234">
        <v>1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1</v>
      </c>
      <c r="J234">
        <v>1</v>
      </c>
      <c r="L234" s="4" t="b">
        <f t="shared" si="18"/>
        <v>0</v>
      </c>
      <c r="M234" s="4" t="b">
        <f t="shared" si="19"/>
        <v>0</v>
      </c>
      <c r="N234" s="4" t="b">
        <f t="shared" si="20"/>
        <v>1</v>
      </c>
      <c r="O234" s="4" t="b">
        <f t="shared" si="21"/>
        <v>0</v>
      </c>
      <c r="P234" s="4" t="b">
        <f t="shared" si="22"/>
        <v>0</v>
      </c>
      <c r="Q234" s="4" t="b">
        <f t="shared" si="23"/>
        <v>0</v>
      </c>
    </row>
    <row r="235" spans="2:17" ht="15" x14ac:dyDescent="0.2">
      <c r="B235">
        <v>1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1</v>
      </c>
      <c r="J235">
        <v>0</v>
      </c>
      <c r="L235" s="4" t="b">
        <f t="shared" si="18"/>
        <v>0</v>
      </c>
      <c r="M235" s="4" t="b">
        <f t="shared" si="19"/>
        <v>0</v>
      </c>
      <c r="N235" s="4" t="b">
        <f t="shared" si="20"/>
        <v>0</v>
      </c>
      <c r="O235" s="4" t="b">
        <f t="shared" si="21"/>
        <v>0</v>
      </c>
      <c r="P235" s="4" t="b">
        <f t="shared" si="22"/>
        <v>0</v>
      </c>
      <c r="Q235" s="4" t="b">
        <f t="shared" si="23"/>
        <v>0</v>
      </c>
    </row>
    <row r="236" spans="2:17" ht="15" x14ac:dyDescent="0.2">
      <c r="B236">
        <v>1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1</v>
      </c>
      <c r="L236" s="4" t="b">
        <f t="shared" si="18"/>
        <v>0</v>
      </c>
      <c r="M236" s="4" t="b">
        <f t="shared" si="19"/>
        <v>0</v>
      </c>
      <c r="N236" s="4" t="b">
        <f t="shared" si="20"/>
        <v>0</v>
      </c>
      <c r="O236" s="4" t="b">
        <f t="shared" si="21"/>
        <v>0</v>
      </c>
      <c r="P236" s="4" t="b">
        <f t="shared" si="22"/>
        <v>0</v>
      </c>
      <c r="Q236" s="4" t="b">
        <f t="shared" si="23"/>
        <v>0</v>
      </c>
    </row>
    <row r="237" spans="2:17" ht="15" x14ac:dyDescent="0.2"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0</v>
      </c>
      <c r="L237" s="4" t="b">
        <f t="shared" si="18"/>
        <v>0</v>
      </c>
      <c r="M237" s="4" t="b">
        <f t="shared" si="19"/>
        <v>0</v>
      </c>
      <c r="N237" s="4" t="b">
        <f t="shared" si="20"/>
        <v>0</v>
      </c>
      <c r="O237" s="4" t="b">
        <f t="shared" si="21"/>
        <v>0</v>
      </c>
      <c r="P237" s="4" t="b">
        <f t="shared" si="22"/>
        <v>0</v>
      </c>
      <c r="Q237" s="4" t="b">
        <f t="shared" si="23"/>
        <v>0</v>
      </c>
    </row>
    <row r="238" spans="2:17" ht="15" x14ac:dyDescent="0.2">
      <c r="B238">
        <v>1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</v>
      </c>
      <c r="J238">
        <v>1</v>
      </c>
      <c r="L238" s="4" t="b">
        <f t="shared" si="18"/>
        <v>0</v>
      </c>
      <c r="M238" s="4" t="b">
        <f t="shared" si="19"/>
        <v>0</v>
      </c>
      <c r="N238" s="4" t="b">
        <f t="shared" si="20"/>
        <v>0</v>
      </c>
      <c r="O238" s="4" t="b">
        <f t="shared" si="21"/>
        <v>0</v>
      </c>
      <c r="P238" s="4" t="b">
        <f t="shared" si="22"/>
        <v>0</v>
      </c>
      <c r="Q238" s="4" t="b">
        <f t="shared" si="23"/>
        <v>0</v>
      </c>
    </row>
    <row r="239" spans="2:17" ht="15" x14ac:dyDescent="0.2">
      <c r="B239">
        <v>1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1</v>
      </c>
      <c r="J239">
        <v>0</v>
      </c>
      <c r="L239" s="4" t="b">
        <f t="shared" si="18"/>
        <v>0</v>
      </c>
      <c r="M239" s="4" t="b">
        <f t="shared" si="19"/>
        <v>0</v>
      </c>
      <c r="N239" s="4" t="b">
        <f t="shared" si="20"/>
        <v>0</v>
      </c>
      <c r="O239" s="4" t="b">
        <f t="shared" si="21"/>
        <v>0</v>
      </c>
      <c r="P239" s="4" t="b">
        <f t="shared" si="22"/>
        <v>0</v>
      </c>
      <c r="Q239" s="4" t="b">
        <f t="shared" si="23"/>
        <v>0</v>
      </c>
    </row>
    <row r="240" spans="2:17" ht="15" x14ac:dyDescent="0.2">
      <c r="B240">
        <v>1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1</v>
      </c>
      <c r="L240" s="4" t="b">
        <f t="shared" si="18"/>
        <v>0</v>
      </c>
      <c r="M240" s="4" t="b">
        <f t="shared" si="19"/>
        <v>0</v>
      </c>
      <c r="N240" s="4" t="b">
        <f t="shared" si="20"/>
        <v>0</v>
      </c>
      <c r="O240" s="4" t="b">
        <f t="shared" si="21"/>
        <v>0</v>
      </c>
      <c r="P240" s="4" t="b">
        <f t="shared" si="22"/>
        <v>0</v>
      </c>
      <c r="Q240" s="4" t="b">
        <f t="shared" si="23"/>
        <v>0</v>
      </c>
    </row>
    <row r="241" spans="2:17" ht="15" x14ac:dyDescent="0.2">
      <c r="B241">
        <v>1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L241" s="4" t="b">
        <f t="shared" si="18"/>
        <v>0</v>
      </c>
      <c r="M241" s="4" t="b">
        <f t="shared" si="19"/>
        <v>0</v>
      </c>
      <c r="N241" s="4" t="b">
        <f t="shared" si="20"/>
        <v>0</v>
      </c>
      <c r="O241" s="4" t="b">
        <f t="shared" si="21"/>
        <v>0</v>
      </c>
      <c r="P241" s="4" t="b">
        <f t="shared" si="22"/>
        <v>0</v>
      </c>
      <c r="Q241" s="4" t="b">
        <f t="shared" si="23"/>
        <v>0</v>
      </c>
    </row>
    <row r="242" spans="2:17" ht="15" x14ac:dyDescent="0.2"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1</v>
      </c>
      <c r="J242">
        <v>1</v>
      </c>
      <c r="L242" s="4" t="b">
        <f t="shared" si="18"/>
        <v>0</v>
      </c>
      <c r="M242" s="4" t="b">
        <f t="shared" si="19"/>
        <v>0</v>
      </c>
      <c r="N242" s="4" t="b">
        <f t="shared" si="20"/>
        <v>1</v>
      </c>
      <c r="O242" s="4" t="b">
        <f t="shared" si="21"/>
        <v>0</v>
      </c>
      <c r="P242" s="4" t="b">
        <f t="shared" si="22"/>
        <v>0</v>
      </c>
      <c r="Q242" s="4" t="b">
        <f t="shared" si="23"/>
        <v>0</v>
      </c>
    </row>
    <row r="243" spans="2:17" ht="15" x14ac:dyDescent="0.2"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1</v>
      </c>
      <c r="J243">
        <v>0</v>
      </c>
      <c r="L243" s="4" t="b">
        <f t="shared" si="18"/>
        <v>0</v>
      </c>
      <c r="M243" s="4" t="b">
        <f t="shared" si="19"/>
        <v>0</v>
      </c>
      <c r="N243" s="4" t="b">
        <f t="shared" si="20"/>
        <v>0</v>
      </c>
      <c r="O243" s="4" t="b">
        <f t="shared" si="21"/>
        <v>0</v>
      </c>
      <c r="P243" s="4" t="b">
        <f t="shared" si="22"/>
        <v>0</v>
      </c>
      <c r="Q243" s="4" t="b">
        <f t="shared" si="23"/>
        <v>0</v>
      </c>
    </row>
    <row r="244" spans="2:17" ht="15" x14ac:dyDescent="0.2">
      <c r="B244">
        <v>1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1</v>
      </c>
      <c r="L244" s="4" t="b">
        <f t="shared" si="18"/>
        <v>0</v>
      </c>
      <c r="M244" s="4" t="b">
        <f t="shared" si="19"/>
        <v>0</v>
      </c>
      <c r="N244" s="4" t="b">
        <f t="shared" si="20"/>
        <v>0</v>
      </c>
      <c r="O244" s="4" t="b">
        <f t="shared" si="21"/>
        <v>0</v>
      </c>
      <c r="P244" s="4" t="b">
        <f t="shared" si="22"/>
        <v>0</v>
      </c>
      <c r="Q244" s="4" t="b">
        <f t="shared" si="23"/>
        <v>0</v>
      </c>
    </row>
    <row r="245" spans="2:17" ht="15" x14ac:dyDescent="0.2"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L245" s="4" t="b">
        <f t="shared" si="18"/>
        <v>0</v>
      </c>
      <c r="M245" s="4" t="b">
        <f t="shared" si="19"/>
        <v>0</v>
      </c>
      <c r="N245" s="4" t="b">
        <f t="shared" si="20"/>
        <v>0</v>
      </c>
      <c r="O245" s="4" t="b">
        <f t="shared" si="21"/>
        <v>0</v>
      </c>
      <c r="P245" s="4" t="b">
        <f t="shared" si="22"/>
        <v>0</v>
      </c>
      <c r="Q245" s="4" t="b">
        <f t="shared" si="23"/>
        <v>0</v>
      </c>
    </row>
    <row r="246" spans="2:17" ht="15" x14ac:dyDescent="0.2"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1</v>
      </c>
      <c r="J246">
        <v>1</v>
      </c>
      <c r="L246" s="4" t="b">
        <f t="shared" si="18"/>
        <v>0</v>
      </c>
      <c r="M246" s="4" t="b">
        <f t="shared" si="19"/>
        <v>0</v>
      </c>
      <c r="N246" s="4" t="b">
        <f t="shared" si="20"/>
        <v>0</v>
      </c>
      <c r="O246" s="4" t="b">
        <f t="shared" si="21"/>
        <v>0</v>
      </c>
      <c r="P246" s="4" t="b">
        <f t="shared" si="22"/>
        <v>0</v>
      </c>
      <c r="Q246" s="4" t="b">
        <f t="shared" si="23"/>
        <v>0</v>
      </c>
    </row>
    <row r="247" spans="2:17" ht="15" x14ac:dyDescent="0.2">
      <c r="B247">
        <v>1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1</v>
      </c>
      <c r="J247">
        <v>0</v>
      </c>
      <c r="L247" s="4" t="b">
        <f t="shared" si="18"/>
        <v>0</v>
      </c>
      <c r="M247" s="4" t="b">
        <f t="shared" si="19"/>
        <v>0</v>
      </c>
      <c r="N247" s="4" t="b">
        <f t="shared" si="20"/>
        <v>0</v>
      </c>
      <c r="O247" s="4" t="b">
        <f t="shared" si="21"/>
        <v>0</v>
      </c>
      <c r="P247" s="4" t="b">
        <f t="shared" si="22"/>
        <v>0</v>
      </c>
      <c r="Q247" s="4" t="b">
        <f t="shared" si="23"/>
        <v>0</v>
      </c>
    </row>
    <row r="248" spans="2:17" ht="15" x14ac:dyDescent="0.2"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L248" s="4" t="b">
        <f t="shared" si="18"/>
        <v>0</v>
      </c>
      <c r="M248" s="4" t="b">
        <f t="shared" si="19"/>
        <v>0</v>
      </c>
      <c r="N248" s="4" t="b">
        <f t="shared" si="20"/>
        <v>0</v>
      </c>
      <c r="O248" s="4" t="b">
        <f t="shared" si="21"/>
        <v>0</v>
      </c>
      <c r="P248" s="4" t="b">
        <f t="shared" si="22"/>
        <v>0</v>
      </c>
      <c r="Q248" s="4" t="b">
        <f t="shared" si="23"/>
        <v>0</v>
      </c>
    </row>
    <row r="249" spans="2:17" ht="15" x14ac:dyDescent="0.2"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L249" s="4" t="b">
        <f t="shared" si="18"/>
        <v>0</v>
      </c>
      <c r="M249" s="4" t="b">
        <f t="shared" si="19"/>
        <v>0</v>
      </c>
      <c r="N249" s="4" t="b">
        <f t="shared" si="20"/>
        <v>0</v>
      </c>
      <c r="O249" s="4" t="b">
        <f t="shared" si="21"/>
        <v>0</v>
      </c>
      <c r="P249" s="4" t="b">
        <f t="shared" si="22"/>
        <v>0</v>
      </c>
      <c r="Q249" s="4" t="b">
        <f t="shared" si="23"/>
        <v>0</v>
      </c>
    </row>
    <row r="250" spans="2:17" ht="15" x14ac:dyDescent="0.2"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1</v>
      </c>
      <c r="L250" s="4" t="b">
        <f t="shared" si="18"/>
        <v>0</v>
      </c>
      <c r="M250" s="4" t="b">
        <f t="shared" si="19"/>
        <v>0</v>
      </c>
      <c r="N250" s="4" t="b">
        <f t="shared" si="20"/>
        <v>1</v>
      </c>
      <c r="O250" s="4" t="b">
        <f t="shared" si="21"/>
        <v>0</v>
      </c>
      <c r="P250" s="4" t="b">
        <f t="shared" si="22"/>
        <v>0</v>
      </c>
      <c r="Q250" s="4" t="b">
        <f t="shared" si="23"/>
        <v>0</v>
      </c>
    </row>
    <row r="251" spans="2:17" ht="15" x14ac:dyDescent="0.2"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1</v>
      </c>
      <c r="I251">
        <v>1</v>
      </c>
      <c r="J251">
        <v>0</v>
      </c>
      <c r="L251" s="4" t="b">
        <f t="shared" si="18"/>
        <v>0</v>
      </c>
      <c r="M251" s="4" t="b">
        <f t="shared" si="19"/>
        <v>0</v>
      </c>
      <c r="N251" s="4" t="b">
        <f t="shared" si="20"/>
        <v>0</v>
      </c>
      <c r="O251" s="4" t="b">
        <f t="shared" si="21"/>
        <v>0</v>
      </c>
      <c r="P251" s="4" t="b">
        <f t="shared" si="22"/>
        <v>0</v>
      </c>
      <c r="Q251" s="4" t="b">
        <f t="shared" si="23"/>
        <v>0</v>
      </c>
    </row>
    <row r="252" spans="2:17" ht="15" x14ac:dyDescent="0.2"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1</v>
      </c>
      <c r="L252" s="4" t="b">
        <f t="shared" si="18"/>
        <v>0</v>
      </c>
      <c r="M252" s="4" t="b">
        <f t="shared" si="19"/>
        <v>0</v>
      </c>
      <c r="N252" s="4" t="b">
        <f t="shared" si="20"/>
        <v>0</v>
      </c>
      <c r="O252" s="4" t="b">
        <f t="shared" si="21"/>
        <v>0</v>
      </c>
      <c r="P252" s="4" t="b">
        <f t="shared" si="22"/>
        <v>0</v>
      </c>
      <c r="Q252" s="4" t="b">
        <f t="shared" si="23"/>
        <v>0</v>
      </c>
    </row>
    <row r="253" spans="2:17" ht="15" x14ac:dyDescent="0.2"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L253" s="4" t="b">
        <f t="shared" si="18"/>
        <v>0</v>
      </c>
      <c r="M253" s="4" t="b">
        <f t="shared" si="19"/>
        <v>0</v>
      </c>
      <c r="N253" s="4" t="b">
        <f t="shared" si="20"/>
        <v>0</v>
      </c>
      <c r="O253" s="4" t="b">
        <f t="shared" si="21"/>
        <v>0</v>
      </c>
      <c r="P253" s="4" t="b">
        <f t="shared" si="22"/>
        <v>0</v>
      </c>
      <c r="Q253" s="4" t="b">
        <f t="shared" si="23"/>
        <v>0</v>
      </c>
    </row>
    <row r="254" spans="2:17" ht="15" x14ac:dyDescent="0.2"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  <c r="L254" s="4" t="b">
        <f t="shared" si="18"/>
        <v>0</v>
      </c>
      <c r="M254" s="4" t="b">
        <f t="shared" si="19"/>
        <v>0</v>
      </c>
      <c r="N254" s="4" t="b">
        <f t="shared" si="20"/>
        <v>0</v>
      </c>
      <c r="O254" s="4" t="b">
        <f t="shared" si="21"/>
        <v>0</v>
      </c>
      <c r="P254" s="4" t="b">
        <f t="shared" si="22"/>
        <v>0</v>
      </c>
      <c r="Q254" s="4" t="b">
        <f t="shared" si="23"/>
        <v>0</v>
      </c>
    </row>
    <row r="255" spans="2:17" ht="15" x14ac:dyDescent="0.2"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L255" s="4" t="b">
        <f t="shared" si="18"/>
        <v>0</v>
      </c>
      <c r="M255" s="4" t="b">
        <f t="shared" si="19"/>
        <v>0</v>
      </c>
      <c r="N255" s="4" t="b">
        <f t="shared" si="20"/>
        <v>0</v>
      </c>
      <c r="O255" s="4" t="b">
        <f t="shared" si="21"/>
        <v>0</v>
      </c>
      <c r="P255" s="4" t="b">
        <f t="shared" si="22"/>
        <v>0</v>
      </c>
      <c r="Q255" s="4" t="b">
        <f t="shared" si="23"/>
        <v>0</v>
      </c>
    </row>
    <row r="256" spans="2:17" ht="15" x14ac:dyDescent="0.2"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L256" s="4" t="b">
        <f t="shared" si="18"/>
        <v>0</v>
      </c>
      <c r="M256" s="4" t="b">
        <f t="shared" si="19"/>
        <v>0</v>
      </c>
      <c r="N256" s="4" t="b">
        <f t="shared" si="20"/>
        <v>0</v>
      </c>
      <c r="O256" s="4" t="b">
        <f t="shared" si="21"/>
        <v>0</v>
      </c>
      <c r="P256" s="4" t="b">
        <f t="shared" si="22"/>
        <v>0</v>
      </c>
      <c r="Q256" s="4" t="b">
        <f t="shared" si="23"/>
        <v>0</v>
      </c>
    </row>
    <row r="257" spans="2:17" ht="15" x14ac:dyDescent="0.2"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L257" s="4" t="b">
        <f t="shared" si="18"/>
        <v>0</v>
      </c>
      <c r="M257" s="4" t="b">
        <f t="shared" si="19"/>
        <v>0</v>
      </c>
      <c r="N257" s="4" t="b">
        <f t="shared" si="20"/>
        <v>0</v>
      </c>
      <c r="O257" s="4" t="b">
        <f t="shared" si="21"/>
        <v>0</v>
      </c>
      <c r="P257" s="4" t="b">
        <f t="shared" si="22"/>
        <v>0</v>
      </c>
      <c r="Q257" s="4" t="b">
        <f t="shared" si="23"/>
        <v>0</v>
      </c>
    </row>
    <row r="258" spans="2:17" ht="15" x14ac:dyDescent="0.2">
      <c r="B258">
        <v>0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L258" s="4" t="b">
        <f t="shared" ref="L258:L321" si="24">AND($B258&gt;=$V$2,$C258&gt;=$W$2,$D258&gt;=$X$2,$E258&gt;=$Y$2,$F258&gt;=$Z$2,$G258&gt;=$AA$2,$H258&gt;=$AB$2,$I258&gt;=$AC$2,$J258&gt;=$AD$2)</f>
        <v>0</v>
      </c>
      <c r="M258" s="4" t="b">
        <f t="shared" ref="M258:M321" si="25">AND($B258&gt;=$V$3,$C258&gt;=$W$3,$D258&gt;=$X$3,$E258&gt;=$Y$3,$F258&gt;=$Z$3,$G258&gt;=$AA$3,$H258&gt;=$AB$3,$I258&gt;=$AC$3,$J258&gt;=$AD$3)</f>
        <v>1</v>
      </c>
      <c r="N258" s="4" t="b">
        <f t="shared" ref="N258:N321" si="26">AND($B258&gt;=$V$4,$C258&gt;=$W$4,$D258&gt;=$X$4,$E258&gt;=$Y$4,$F258&gt;=$Z$4,$G258&gt;=$AA$4,$H258&gt;=$AB$4,$I258&gt;=$AC$4,$J258&gt;=$AD$4)</f>
        <v>1</v>
      </c>
      <c r="O258" s="4" t="b">
        <f t="shared" ref="O258:O321" si="27">AND($B258&gt;=$V$5,$C258&gt;=$W$5,$D258&gt;=$X$5,$E258&gt;=$Y$5,$F258&gt;=$Z$5,$G258&gt;=$AA$5,$H258&gt;=$AB$5,$I258&gt;=$AC$5,$J258&gt;=$AD$5)</f>
        <v>0</v>
      </c>
      <c r="P258" s="4" t="b">
        <f t="shared" ref="P258:P321" si="28">AND($B258&gt;=$V$6,$C258&gt;=$W$6,$D258&gt;=$X$6,$E258&gt;=$Y$6,$F258&gt;=$Z$6,$G258&gt;=$AA$6,$H258&gt;=$AB$6,$I258&gt;=$AC$6,$J258&gt;=$AD$6)</f>
        <v>1</v>
      </c>
      <c r="Q258" s="4" t="b">
        <f t="shared" ref="Q258:Q321" si="29">AND($B258&gt;=$V$7,$C258&gt;=$W$7,$D258&gt;=$X$7,$E258&gt;=$Y$7,$F258&gt;=$Z$7,$G258&gt;=$AA$7,$H258&gt;=$AB$7,$I258&gt;=$AC$7,$J258&gt;=$AD$7)</f>
        <v>1</v>
      </c>
    </row>
    <row r="259" spans="2:17" ht="15" x14ac:dyDescent="0.2">
      <c r="B259">
        <v>0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0</v>
      </c>
      <c r="L259" s="4" t="b">
        <f t="shared" si="24"/>
        <v>0</v>
      </c>
      <c r="M259" s="4" t="b">
        <f t="shared" si="25"/>
        <v>1</v>
      </c>
      <c r="N259" s="4" t="b">
        <f t="shared" si="26"/>
        <v>0</v>
      </c>
      <c r="O259" s="4" t="b">
        <f t="shared" si="27"/>
        <v>0</v>
      </c>
      <c r="P259" s="4" t="b">
        <f t="shared" si="28"/>
        <v>1</v>
      </c>
      <c r="Q259" s="4" t="b">
        <f t="shared" si="29"/>
        <v>0</v>
      </c>
    </row>
    <row r="260" spans="2:17" ht="15" x14ac:dyDescent="0.2">
      <c r="B260">
        <v>0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1</v>
      </c>
      <c r="L260" s="4" t="b">
        <f t="shared" si="24"/>
        <v>0</v>
      </c>
      <c r="M260" s="4" t="b">
        <f t="shared" si="25"/>
        <v>1</v>
      </c>
      <c r="N260" s="4" t="b">
        <f t="shared" si="26"/>
        <v>0</v>
      </c>
      <c r="O260" s="4" t="b">
        <f t="shared" si="27"/>
        <v>0</v>
      </c>
      <c r="P260" s="4" t="b">
        <f t="shared" si="28"/>
        <v>0</v>
      </c>
      <c r="Q260" s="4" t="b">
        <f t="shared" si="29"/>
        <v>1</v>
      </c>
    </row>
    <row r="261" spans="2:17" ht="15" x14ac:dyDescent="0.2">
      <c r="B261">
        <v>0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L261" s="4" t="b">
        <f t="shared" si="24"/>
        <v>0</v>
      </c>
      <c r="M261" s="4" t="b">
        <f t="shared" si="25"/>
        <v>1</v>
      </c>
      <c r="N261" s="4" t="b">
        <f t="shared" si="26"/>
        <v>0</v>
      </c>
      <c r="O261" s="4" t="b">
        <f t="shared" si="27"/>
        <v>0</v>
      </c>
      <c r="P261" s="4" t="b">
        <f t="shared" si="28"/>
        <v>0</v>
      </c>
      <c r="Q261" s="4" t="b">
        <f t="shared" si="29"/>
        <v>0</v>
      </c>
    </row>
    <row r="262" spans="2:17" ht="15" x14ac:dyDescent="0.2">
      <c r="B262">
        <v>0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0</v>
      </c>
      <c r="I262">
        <v>1</v>
      </c>
      <c r="J262">
        <v>1</v>
      </c>
      <c r="L262" s="4" t="b">
        <f t="shared" si="24"/>
        <v>0</v>
      </c>
      <c r="M262" s="4" t="b">
        <f t="shared" si="25"/>
        <v>1</v>
      </c>
      <c r="N262" s="4" t="b">
        <f t="shared" si="26"/>
        <v>0</v>
      </c>
      <c r="O262" s="4" t="b">
        <f t="shared" si="27"/>
        <v>0</v>
      </c>
      <c r="P262" s="4" t="b">
        <f t="shared" si="28"/>
        <v>1</v>
      </c>
      <c r="Q262" s="4" t="b">
        <f t="shared" si="29"/>
        <v>1</v>
      </c>
    </row>
    <row r="263" spans="2:17" ht="15" x14ac:dyDescent="0.2">
      <c r="B263">
        <v>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1</v>
      </c>
      <c r="J263">
        <v>0</v>
      </c>
      <c r="L263" s="4" t="b">
        <f t="shared" si="24"/>
        <v>0</v>
      </c>
      <c r="M263" s="4" t="b">
        <f t="shared" si="25"/>
        <v>1</v>
      </c>
      <c r="N263" s="4" t="b">
        <f t="shared" si="26"/>
        <v>0</v>
      </c>
      <c r="O263" s="4" t="b">
        <f t="shared" si="27"/>
        <v>0</v>
      </c>
      <c r="P263" s="4" t="b">
        <f t="shared" si="28"/>
        <v>1</v>
      </c>
      <c r="Q263" s="4" t="b">
        <f t="shared" si="29"/>
        <v>0</v>
      </c>
    </row>
    <row r="264" spans="2:17" ht="15" x14ac:dyDescent="0.2">
      <c r="B264">
        <v>0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0</v>
      </c>
      <c r="I264">
        <v>0</v>
      </c>
      <c r="J264">
        <v>1</v>
      </c>
      <c r="L264" s="4" t="b">
        <f t="shared" si="24"/>
        <v>0</v>
      </c>
      <c r="M264" s="4" t="b">
        <f t="shared" si="25"/>
        <v>1</v>
      </c>
      <c r="N264" s="4" t="b">
        <f t="shared" si="26"/>
        <v>0</v>
      </c>
      <c r="O264" s="4" t="b">
        <f t="shared" si="27"/>
        <v>0</v>
      </c>
      <c r="P264" s="4" t="b">
        <f t="shared" si="28"/>
        <v>0</v>
      </c>
      <c r="Q264" s="4" t="b">
        <f t="shared" si="29"/>
        <v>1</v>
      </c>
    </row>
    <row r="265" spans="2:17" ht="15" x14ac:dyDescent="0.2">
      <c r="B265">
        <v>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0</v>
      </c>
      <c r="J265">
        <v>0</v>
      </c>
      <c r="L265" s="4" t="b">
        <f t="shared" si="24"/>
        <v>0</v>
      </c>
      <c r="M265" s="4" t="b">
        <f t="shared" si="25"/>
        <v>1</v>
      </c>
      <c r="N265" s="4" t="b">
        <f t="shared" si="26"/>
        <v>0</v>
      </c>
      <c r="O265" s="4" t="b">
        <f t="shared" si="27"/>
        <v>0</v>
      </c>
      <c r="P265" s="4" t="b">
        <f t="shared" si="28"/>
        <v>0</v>
      </c>
      <c r="Q265" s="4" t="b">
        <f t="shared" si="29"/>
        <v>0</v>
      </c>
    </row>
    <row r="266" spans="2:17" ht="15" x14ac:dyDescent="0.2">
      <c r="B266">
        <v>0</v>
      </c>
      <c r="C266">
        <v>1</v>
      </c>
      <c r="D266">
        <v>1</v>
      </c>
      <c r="E266">
        <v>1</v>
      </c>
      <c r="F266">
        <v>1</v>
      </c>
      <c r="G266">
        <v>0</v>
      </c>
      <c r="H266">
        <v>1</v>
      </c>
      <c r="I266">
        <v>1</v>
      </c>
      <c r="J266">
        <v>1</v>
      </c>
      <c r="L266" s="4" t="b">
        <f t="shared" si="24"/>
        <v>0</v>
      </c>
      <c r="M266" s="4" t="b">
        <f t="shared" si="25"/>
        <v>0</v>
      </c>
      <c r="N266" s="4" t="b">
        <f t="shared" si="26"/>
        <v>1</v>
      </c>
      <c r="O266" s="4" t="b">
        <f t="shared" si="27"/>
        <v>0</v>
      </c>
      <c r="P266" s="4" t="b">
        <f t="shared" si="28"/>
        <v>1</v>
      </c>
      <c r="Q266" s="4" t="b">
        <f t="shared" si="29"/>
        <v>0</v>
      </c>
    </row>
    <row r="267" spans="2:17" ht="15" x14ac:dyDescent="0.2">
      <c r="B267">
        <v>0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0</v>
      </c>
      <c r="L267" s="4" t="b">
        <f t="shared" si="24"/>
        <v>0</v>
      </c>
      <c r="M267" s="4" t="b">
        <f t="shared" si="25"/>
        <v>0</v>
      </c>
      <c r="N267" s="4" t="b">
        <f t="shared" si="26"/>
        <v>0</v>
      </c>
      <c r="O267" s="4" t="b">
        <f t="shared" si="27"/>
        <v>0</v>
      </c>
      <c r="P267" s="4" t="b">
        <f t="shared" si="28"/>
        <v>1</v>
      </c>
      <c r="Q267" s="4" t="b">
        <f t="shared" si="29"/>
        <v>0</v>
      </c>
    </row>
    <row r="268" spans="2:17" ht="15" x14ac:dyDescent="0.2">
      <c r="B268">
        <v>0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0</v>
      </c>
      <c r="J268">
        <v>1</v>
      </c>
      <c r="L268" s="4" t="b">
        <f t="shared" si="24"/>
        <v>0</v>
      </c>
      <c r="M268" s="4" t="b">
        <f t="shared" si="25"/>
        <v>0</v>
      </c>
      <c r="N268" s="4" t="b">
        <f t="shared" si="26"/>
        <v>0</v>
      </c>
      <c r="O268" s="4" t="b">
        <f t="shared" si="27"/>
        <v>0</v>
      </c>
      <c r="P268" s="4" t="b">
        <f t="shared" si="28"/>
        <v>0</v>
      </c>
      <c r="Q268" s="4" t="b">
        <f t="shared" si="29"/>
        <v>0</v>
      </c>
    </row>
    <row r="269" spans="2:17" ht="15" x14ac:dyDescent="0.2">
      <c r="B269">
        <v>0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L269" s="4" t="b">
        <f t="shared" si="24"/>
        <v>0</v>
      </c>
      <c r="M269" s="4" t="b">
        <f t="shared" si="25"/>
        <v>0</v>
      </c>
      <c r="N269" s="4" t="b">
        <f t="shared" si="26"/>
        <v>0</v>
      </c>
      <c r="O269" s="4" t="b">
        <f t="shared" si="27"/>
        <v>0</v>
      </c>
      <c r="P269" s="4" t="b">
        <f t="shared" si="28"/>
        <v>0</v>
      </c>
      <c r="Q269" s="4" t="b">
        <f t="shared" si="29"/>
        <v>0</v>
      </c>
    </row>
    <row r="270" spans="2:17" ht="15" x14ac:dyDescent="0.2">
      <c r="B270">
        <v>0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1</v>
      </c>
      <c r="J270">
        <v>1</v>
      </c>
      <c r="L270" s="4" t="b">
        <f t="shared" si="24"/>
        <v>0</v>
      </c>
      <c r="M270" s="4" t="b">
        <f t="shared" si="25"/>
        <v>0</v>
      </c>
      <c r="N270" s="4" t="b">
        <f t="shared" si="26"/>
        <v>0</v>
      </c>
      <c r="O270" s="4" t="b">
        <f t="shared" si="27"/>
        <v>0</v>
      </c>
      <c r="P270" s="4" t="b">
        <f t="shared" si="28"/>
        <v>1</v>
      </c>
      <c r="Q270" s="4" t="b">
        <f t="shared" si="29"/>
        <v>0</v>
      </c>
    </row>
    <row r="271" spans="2:17" ht="15" x14ac:dyDescent="0.2">
      <c r="B271">
        <v>0</v>
      </c>
      <c r="C271">
        <v>1</v>
      </c>
      <c r="D271">
        <v>1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0</v>
      </c>
      <c r="L271" s="4" t="b">
        <f t="shared" si="24"/>
        <v>0</v>
      </c>
      <c r="M271" s="4" t="b">
        <f t="shared" si="25"/>
        <v>0</v>
      </c>
      <c r="N271" s="4" t="b">
        <f t="shared" si="26"/>
        <v>0</v>
      </c>
      <c r="O271" s="4" t="b">
        <f t="shared" si="27"/>
        <v>0</v>
      </c>
      <c r="P271" s="4" t="b">
        <f t="shared" si="28"/>
        <v>1</v>
      </c>
      <c r="Q271" s="4" t="b">
        <f t="shared" si="29"/>
        <v>0</v>
      </c>
    </row>
    <row r="272" spans="2:17" ht="15" x14ac:dyDescent="0.2">
      <c r="B272">
        <v>0</v>
      </c>
      <c r="C272">
        <v>1</v>
      </c>
      <c r="D272">
        <v>1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1</v>
      </c>
      <c r="L272" s="4" t="b">
        <f t="shared" si="24"/>
        <v>0</v>
      </c>
      <c r="M272" s="4" t="b">
        <f t="shared" si="25"/>
        <v>0</v>
      </c>
      <c r="N272" s="4" t="b">
        <f t="shared" si="26"/>
        <v>0</v>
      </c>
      <c r="O272" s="4" t="b">
        <f t="shared" si="27"/>
        <v>0</v>
      </c>
      <c r="P272" s="4" t="b">
        <f t="shared" si="28"/>
        <v>0</v>
      </c>
      <c r="Q272" s="4" t="b">
        <f t="shared" si="29"/>
        <v>0</v>
      </c>
    </row>
    <row r="273" spans="2:17" ht="15" x14ac:dyDescent="0.2">
      <c r="B273">
        <v>0</v>
      </c>
      <c r="C273">
        <v>1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L273" s="4" t="b">
        <f t="shared" si="24"/>
        <v>0</v>
      </c>
      <c r="M273" s="4" t="b">
        <f t="shared" si="25"/>
        <v>0</v>
      </c>
      <c r="N273" s="4" t="b">
        <f t="shared" si="26"/>
        <v>0</v>
      </c>
      <c r="O273" s="4" t="b">
        <f t="shared" si="27"/>
        <v>0</v>
      </c>
      <c r="P273" s="4" t="b">
        <f t="shared" si="28"/>
        <v>0</v>
      </c>
      <c r="Q273" s="4" t="b">
        <f t="shared" si="29"/>
        <v>0</v>
      </c>
    </row>
    <row r="274" spans="2:17" ht="15" x14ac:dyDescent="0.2">
      <c r="B274">
        <v>0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1</v>
      </c>
      <c r="J274">
        <v>1</v>
      </c>
      <c r="L274" s="4" t="b">
        <f t="shared" si="24"/>
        <v>0</v>
      </c>
      <c r="M274" s="4" t="b">
        <f t="shared" si="25"/>
        <v>0</v>
      </c>
      <c r="N274" s="4" t="b">
        <f t="shared" si="26"/>
        <v>1</v>
      </c>
      <c r="O274" s="4" t="b">
        <f t="shared" si="27"/>
        <v>0</v>
      </c>
      <c r="P274" s="4" t="b">
        <f t="shared" si="28"/>
        <v>0</v>
      </c>
      <c r="Q274" s="4" t="b">
        <f t="shared" si="29"/>
        <v>1</v>
      </c>
    </row>
    <row r="275" spans="2:17" ht="15" x14ac:dyDescent="0.2">
      <c r="B275">
        <v>0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1</v>
      </c>
      <c r="J275">
        <v>0</v>
      </c>
      <c r="L275" s="4" t="b">
        <f t="shared" si="24"/>
        <v>0</v>
      </c>
      <c r="M275" s="4" t="b">
        <f t="shared" si="25"/>
        <v>0</v>
      </c>
      <c r="N275" s="4" t="b">
        <f t="shared" si="26"/>
        <v>0</v>
      </c>
      <c r="O275" s="4" t="b">
        <f t="shared" si="27"/>
        <v>0</v>
      </c>
      <c r="P275" s="4" t="b">
        <f t="shared" si="28"/>
        <v>0</v>
      </c>
      <c r="Q275" s="4" t="b">
        <f t="shared" si="29"/>
        <v>0</v>
      </c>
    </row>
    <row r="276" spans="2:17" ht="15" x14ac:dyDescent="0.2">
      <c r="B276">
        <v>0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1</v>
      </c>
      <c r="L276" s="4" t="b">
        <f t="shared" si="24"/>
        <v>0</v>
      </c>
      <c r="M276" s="4" t="b">
        <f t="shared" si="25"/>
        <v>0</v>
      </c>
      <c r="N276" s="4" t="b">
        <f t="shared" si="26"/>
        <v>0</v>
      </c>
      <c r="O276" s="4" t="b">
        <f t="shared" si="27"/>
        <v>0</v>
      </c>
      <c r="P276" s="4" t="b">
        <f t="shared" si="28"/>
        <v>0</v>
      </c>
      <c r="Q276" s="4" t="b">
        <f t="shared" si="29"/>
        <v>1</v>
      </c>
    </row>
    <row r="277" spans="2:17" ht="15" x14ac:dyDescent="0.2">
      <c r="B277">
        <v>0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0</v>
      </c>
      <c r="L277" s="4" t="b">
        <f t="shared" si="24"/>
        <v>0</v>
      </c>
      <c r="M277" s="4" t="b">
        <f t="shared" si="25"/>
        <v>0</v>
      </c>
      <c r="N277" s="4" t="b">
        <f t="shared" si="26"/>
        <v>0</v>
      </c>
      <c r="O277" s="4" t="b">
        <f t="shared" si="27"/>
        <v>0</v>
      </c>
      <c r="P277" s="4" t="b">
        <f t="shared" si="28"/>
        <v>0</v>
      </c>
      <c r="Q277" s="4" t="b">
        <f t="shared" si="29"/>
        <v>0</v>
      </c>
    </row>
    <row r="278" spans="2:17" ht="15" x14ac:dyDescent="0.2">
      <c r="B278">
        <v>0</v>
      </c>
      <c r="C278">
        <v>1</v>
      </c>
      <c r="D278">
        <v>1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1</v>
      </c>
      <c r="L278" s="4" t="b">
        <f t="shared" si="24"/>
        <v>0</v>
      </c>
      <c r="M278" s="4" t="b">
        <f t="shared" si="25"/>
        <v>0</v>
      </c>
      <c r="N278" s="4" t="b">
        <f t="shared" si="26"/>
        <v>0</v>
      </c>
      <c r="O278" s="4" t="b">
        <f t="shared" si="27"/>
        <v>0</v>
      </c>
      <c r="P278" s="4" t="b">
        <f t="shared" si="28"/>
        <v>0</v>
      </c>
      <c r="Q278" s="4" t="b">
        <f t="shared" si="29"/>
        <v>1</v>
      </c>
    </row>
    <row r="279" spans="2:17" ht="15" x14ac:dyDescent="0.2">
      <c r="B279">
        <v>0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1</v>
      </c>
      <c r="J279">
        <v>0</v>
      </c>
      <c r="L279" s="4" t="b">
        <f t="shared" si="24"/>
        <v>0</v>
      </c>
      <c r="M279" s="4" t="b">
        <f t="shared" si="25"/>
        <v>0</v>
      </c>
      <c r="N279" s="4" t="b">
        <f t="shared" si="26"/>
        <v>0</v>
      </c>
      <c r="O279" s="4" t="b">
        <f t="shared" si="27"/>
        <v>0</v>
      </c>
      <c r="P279" s="4" t="b">
        <f t="shared" si="28"/>
        <v>0</v>
      </c>
      <c r="Q279" s="4" t="b">
        <f t="shared" si="29"/>
        <v>0</v>
      </c>
    </row>
    <row r="280" spans="2:17" ht="15" x14ac:dyDescent="0.2">
      <c r="B280">
        <v>0</v>
      </c>
      <c r="C280">
        <v>1</v>
      </c>
      <c r="D280">
        <v>1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1</v>
      </c>
      <c r="L280" s="4" t="b">
        <f t="shared" si="24"/>
        <v>0</v>
      </c>
      <c r="M280" s="4" t="b">
        <f t="shared" si="25"/>
        <v>0</v>
      </c>
      <c r="N280" s="4" t="b">
        <f t="shared" si="26"/>
        <v>0</v>
      </c>
      <c r="O280" s="4" t="b">
        <f t="shared" si="27"/>
        <v>0</v>
      </c>
      <c r="P280" s="4" t="b">
        <f t="shared" si="28"/>
        <v>0</v>
      </c>
      <c r="Q280" s="4" t="b">
        <f t="shared" si="29"/>
        <v>1</v>
      </c>
    </row>
    <row r="281" spans="2:17" ht="15" x14ac:dyDescent="0.2">
      <c r="B281">
        <v>0</v>
      </c>
      <c r="C281">
        <v>1</v>
      </c>
      <c r="D281">
        <v>1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L281" s="4" t="b">
        <f t="shared" si="24"/>
        <v>0</v>
      </c>
      <c r="M281" s="4" t="b">
        <f t="shared" si="25"/>
        <v>0</v>
      </c>
      <c r="N281" s="4" t="b">
        <f t="shared" si="26"/>
        <v>0</v>
      </c>
      <c r="O281" s="4" t="b">
        <f t="shared" si="27"/>
        <v>0</v>
      </c>
      <c r="P281" s="4" t="b">
        <f t="shared" si="28"/>
        <v>0</v>
      </c>
      <c r="Q281" s="4" t="b">
        <f t="shared" si="29"/>
        <v>0</v>
      </c>
    </row>
    <row r="282" spans="2:17" ht="15" x14ac:dyDescent="0.2">
      <c r="B282">
        <v>0</v>
      </c>
      <c r="C282">
        <v>1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1</v>
      </c>
      <c r="J282">
        <v>1</v>
      </c>
      <c r="L282" s="4" t="b">
        <f t="shared" si="24"/>
        <v>0</v>
      </c>
      <c r="M282" s="4" t="b">
        <f t="shared" si="25"/>
        <v>0</v>
      </c>
      <c r="N282" s="4" t="b">
        <f t="shared" si="26"/>
        <v>1</v>
      </c>
      <c r="O282" s="4" t="b">
        <f t="shared" si="27"/>
        <v>0</v>
      </c>
      <c r="P282" s="4" t="b">
        <f t="shared" si="28"/>
        <v>0</v>
      </c>
      <c r="Q282" s="4" t="b">
        <f t="shared" si="29"/>
        <v>0</v>
      </c>
    </row>
    <row r="283" spans="2:17" ht="15" x14ac:dyDescent="0.2">
      <c r="B283">
        <v>0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1</v>
      </c>
      <c r="I283">
        <v>1</v>
      </c>
      <c r="J283">
        <v>0</v>
      </c>
      <c r="L283" s="4" t="b">
        <f t="shared" si="24"/>
        <v>0</v>
      </c>
      <c r="M283" s="4" t="b">
        <f t="shared" si="25"/>
        <v>0</v>
      </c>
      <c r="N283" s="4" t="b">
        <f t="shared" si="26"/>
        <v>0</v>
      </c>
      <c r="O283" s="4" t="b">
        <f t="shared" si="27"/>
        <v>0</v>
      </c>
      <c r="P283" s="4" t="b">
        <f t="shared" si="28"/>
        <v>0</v>
      </c>
      <c r="Q283" s="4" t="b">
        <f t="shared" si="29"/>
        <v>0</v>
      </c>
    </row>
    <row r="284" spans="2:17" ht="15" x14ac:dyDescent="0.2">
      <c r="B284">
        <v>0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1</v>
      </c>
      <c r="L284" s="4" t="b">
        <f t="shared" si="24"/>
        <v>0</v>
      </c>
      <c r="M284" s="4" t="b">
        <f t="shared" si="25"/>
        <v>0</v>
      </c>
      <c r="N284" s="4" t="b">
        <f t="shared" si="26"/>
        <v>0</v>
      </c>
      <c r="O284" s="4" t="b">
        <f t="shared" si="27"/>
        <v>0</v>
      </c>
      <c r="P284" s="4" t="b">
        <f t="shared" si="28"/>
        <v>0</v>
      </c>
      <c r="Q284" s="4" t="b">
        <f t="shared" si="29"/>
        <v>0</v>
      </c>
    </row>
    <row r="285" spans="2:17" ht="15" x14ac:dyDescent="0.2">
      <c r="B285">
        <v>0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L285" s="4" t="b">
        <f t="shared" si="24"/>
        <v>0</v>
      </c>
      <c r="M285" s="4" t="b">
        <f t="shared" si="25"/>
        <v>0</v>
      </c>
      <c r="N285" s="4" t="b">
        <f t="shared" si="26"/>
        <v>0</v>
      </c>
      <c r="O285" s="4" t="b">
        <f t="shared" si="27"/>
        <v>0</v>
      </c>
      <c r="P285" s="4" t="b">
        <f t="shared" si="28"/>
        <v>0</v>
      </c>
      <c r="Q285" s="4" t="b">
        <f t="shared" si="29"/>
        <v>0</v>
      </c>
    </row>
    <row r="286" spans="2:17" ht="15" x14ac:dyDescent="0.2">
      <c r="B286">
        <v>0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1</v>
      </c>
      <c r="L286" s="4" t="b">
        <f t="shared" si="24"/>
        <v>0</v>
      </c>
      <c r="M286" s="4" t="b">
        <f t="shared" si="25"/>
        <v>0</v>
      </c>
      <c r="N286" s="4" t="b">
        <f t="shared" si="26"/>
        <v>0</v>
      </c>
      <c r="O286" s="4" t="b">
        <f t="shared" si="27"/>
        <v>0</v>
      </c>
      <c r="P286" s="4" t="b">
        <f t="shared" si="28"/>
        <v>0</v>
      </c>
      <c r="Q286" s="4" t="b">
        <f t="shared" si="29"/>
        <v>0</v>
      </c>
    </row>
    <row r="287" spans="2:17" ht="15" x14ac:dyDescent="0.2">
      <c r="B287">
        <v>0</v>
      </c>
      <c r="C287">
        <v>1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1</v>
      </c>
      <c r="J287">
        <v>0</v>
      </c>
      <c r="L287" s="4" t="b">
        <f t="shared" si="24"/>
        <v>0</v>
      </c>
      <c r="M287" s="4" t="b">
        <f t="shared" si="25"/>
        <v>0</v>
      </c>
      <c r="N287" s="4" t="b">
        <f t="shared" si="26"/>
        <v>0</v>
      </c>
      <c r="O287" s="4" t="b">
        <f t="shared" si="27"/>
        <v>0</v>
      </c>
      <c r="P287" s="4" t="b">
        <f t="shared" si="28"/>
        <v>0</v>
      </c>
      <c r="Q287" s="4" t="b">
        <f t="shared" si="29"/>
        <v>0</v>
      </c>
    </row>
    <row r="288" spans="2:17" ht="15" x14ac:dyDescent="0.2">
      <c r="B288">
        <v>0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L288" s="4" t="b">
        <f t="shared" si="24"/>
        <v>0</v>
      </c>
      <c r="M288" s="4" t="b">
        <f t="shared" si="25"/>
        <v>0</v>
      </c>
      <c r="N288" s="4" t="b">
        <f t="shared" si="26"/>
        <v>0</v>
      </c>
      <c r="O288" s="4" t="b">
        <f t="shared" si="27"/>
        <v>0</v>
      </c>
      <c r="P288" s="4" t="b">
        <f t="shared" si="28"/>
        <v>0</v>
      </c>
      <c r="Q288" s="4" t="b">
        <f t="shared" si="29"/>
        <v>0</v>
      </c>
    </row>
    <row r="289" spans="2:17" ht="15" x14ac:dyDescent="0.2">
      <c r="B289">
        <v>0</v>
      </c>
      <c r="C289">
        <v>1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L289" s="4" t="b">
        <f t="shared" si="24"/>
        <v>0</v>
      </c>
      <c r="M289" s="4" t="b">
        <f t="shared" si="25"/>
        <v>0</v>
      </c>
      <c r="N289" s="4" t="b">
        <f t="shared" si="26"/>
        <v>0</v>
      </c>
      <c r="O289" s="4" t="b">
        <f t="shared" si="27"/>
        <v>0</v>
      </c>
      <c r="P289" s="4" t="b">
        <f t="shared" si="28"/>
        <v>0</v>
      </c>
      <c r="Q289" s="4" t="b">
        <f t="shared" si="29"/>
        <v>0</v>
      </c>
    </row>
    <row r="290" spans="2:17" ht="15" x14ac:dyDescent="0.2">
      <c r="B290">
        <v>0</v>
      </c>
      <c r="C290">
        <v>1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  <c r="L290" s="4" t="b">
        <f t="shared" si="24"/>
        <v>0</v>
      </c>
      <c r="M290" s="4" t="b">
        <f t="shared" si="25"/>
        <v>0</v>
      </c>
      <c r="N290" s="4" t="b">
        <f t="shared" si="26"/>
        <v>1</v>
      </c>
      <c r="O290" s="4" t="b">
        <f t="shared" si="27"/>
        <v>0</v>
      </c>
      <c r="P290" s="4" t="b">
        <f t="shared" si="28"/>
        <v>1</v>
      </c>
      <c r="Q290" s="4" t="b">
        <f t="shared" si="29"/>
        <v>1</v>
      </c>
    </row>
    <row r="291" spans="2:17" ht="15" x14ac:dyDescent="0.2">
      <c r="B291">
        <v>0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0</v>
      </c>
      <c r="L291" s="4" t="b">
        <f t="shared" si="24"/>
        <v>0</v>
      </c>
      <c r="M291" s="4" t="b">
        <f t="shared" si="25"/>
        <v>0</v>
      </c>
      <c r="N291" s="4" t="b">
        <f t="shared" si="26"/>
        <v>0</v>
      </c>
      <c r="O291" s="4" t="b">
        <f t="shared" si="27"/>
        <v>0</v>
      </c>
      <c r="P291" s="4" t="b">
        <f t="shared" si="28"/>
        <v>1</v>
      </c>
      <c r="Q291" s="4" t="b">
        <f t="shared" si="29"/>
        <v>0</v>
      </c>
    </row>
    <row r="292" spans="2:17" ht="15" x14ac:dyDescent="0.2">
      <c r="B292">
        <v>0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0</v>
      </c>
      <c r="J292">
        <v>1</v>
      </c>
      <c r="L292" s="4" t="b">
        <f t="shared" si="24"/>
        <v>0</v>
      </c>
      <c r="M292" s="4" t="b">
        <f t="shared" si="25"/>
        <v>0</v>
      </c>
      <c r="N292" s="4" t="b">
        <f t="shared" si="26"/>
        <v>0</v>
      </c>
      <c r="O292" s="4" t="b">
        <f t="shared" si="27"/>
        <v>0</v>
      </c>
      <c r="P292" s="4" t="b">
        <f t="shared" si="28"/>
        <v>0</v>
      </c>
      <c r="Q292" s="4" t="b">
        <f t="shared" si="29"/>
        <v>1</v>
      </c>
    </row>
    <row r="293" spans="2:17" ht="15" x14ac:dyDescent="0.2">
      <c r="B293">
        <v>0</v>
      </c>
      <c r="C293">
        <v>1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0</v>
      </c>
      <c r="J293">
        <v>0</v>
      </c>
      <c r="L293" s="4" t="b">
        <f t="shared" si="24"/>
        <v>0</v>
      </c>
      <c r="M293" s="4" t="b">
        <f t="shared" si="25"/>
        <v>0</v>
      </c>
      <c r="N293" s="4" t="b">
        <f t="shared" si="26"/>
        <v>0</v>
      </c>
      <c r="O293" s="4" t="b">
        <f t="shared" si="27"/>
        <v>0</v>
      </c>
      <c r="P293" s="4" t="b">
        <f t="shared" si="28"/>
        <v>0</v>
      </c>
      <c r="Q293" s="4" t="b">
        <f t="shared" si="29"/>
        <v>0</v>
      </c>
    </row>
    <row r="294" spans="2:17" ht="15" x14ac:dyDescent="0.2">
      <c r="B294">
        <v>0</v>
      </c>
      <c r="C294">
        <v>1</v>
      </c>
      <c r="D294">
        <v>1</v>
      </c>
      <c r="E294">
        <v>0</v>
      </c>
      <c r="F294">
        <v>1</v>
      </c>
      <c r="G294">
        <v>1</v>
      </c>
      <c r="H294">
        <v>0</v>
      </c>
      <c r="I294">
        <v>1</v>
      </c>
      <c r="J294">
        <v>1</v>
      </c>
      <c r="L294" s="4" t="b">
        <f t="shared" si="24"/>
        <v>0</v>
      </c>
      <c r="M294" s="4" t="b">
        <f t="shared" si="25"/>
        <v>0</v>
      </c>
      <c r="N294" s="4" t="b">
        <f t="shared" si="26"/>
        <v>0</v>
      </c>
      <c r="O294" s="4" t="b">
        <f t="shared" si="27"/>
        <v>0</v>
      </c>
      <c r="P294" s="4" t="b">
        <f t="shared" si="28"/>
        <v>1</v>
      </c>
      <c r="Q294" s="4" t="b">
        <f t="shared" si="29"/>
        <v>1</v>
      </c>
    </row>
    <row r="295" spans="2:17" ht="15" x14ac:dyDescent="0.2">
      <c r="B295">
        <v>0</v>
      </c>
      <c r="C295">
        <v>1</v>
      </c>
      <c r="D295">
        <v>1</v>
      </c>
      <c r="E295">
        <v>0</v>
      </c>
      <c r="F295">
        <v>1</v>
      </c>
      <c r="G295">
        <v>1</v>
      </c>
      <c r="H295">
        <v>0</v>
      </c>
      <c r="I295">
        <v>1</v>
      </c>
      <c r="J295">
        <v>0</v>
      </c>
      <c r="L295" s="4" t="b">
        <f t="shared" si="24"/>
        <v>0</v>
      </c>
      <c r="M295" s="4" t="b">
        <f t="shared" si="25"/>
        <v>0</v>
      </c>
      <c r="N295" s="4" t="b">
        <f t="shared" si="26"/>
        <v>0</v>
      </c>
      <c r="O295" s="4" t="b">
        <f t="shared" si="27"/>
        <v>0</v>
      </c>
      <c r="P295" s="4" t="b">
        <f t="shared" si="28"/>
        <v>1</v>
      </c>
      <c r="Q295" s="4" t="b">
        <f t="shared" si="29"/>
        <v>0</v>
      </c>
    </row>
    <row r="296" spans="2:17" ht="15" x14ac:dyDescent="0.2">
      <c r="B296">
        <v>0</v>
      </c>
      <c r="C296">
        <v>1</v>
      </c>
      <c r="D296">
        <v>1</v>
      </c>
      <c r="E296">
        <v>0</v>
      </c>
      <c r="F296">
        <v>1</v>
      </c>
      <c r="G296">
        <v>1</v>
      </c>
      <c r="H296">
        <v>0</v>
      </c>
      <c r="I296">
        <v>0</v>
      </c>
      <c r="J296">
        <v>1</v>
      </c>
      <c r="L296" s="4" t="b">
        <f t="shared" si="24"/>
        <v>0</v>
      </c>
      <c r="M296" s="4" t="b">
        <f t="shared" si="25"/>
        <v>0</v>
      </c>
      <c r="N296" s="4" t="b">
        <f t="shared" si="26"/>
        <v>0</v>
      </c>
      <c r="O296" s="4" t="b">
        <f t="shared" si="27"/>
        <v>0</v>
      </c>
      <c r="P296" s="4" t="b">
        <f t="shared" si="28"/>
        <v>0</v>
      </c>
      <c r="Q296" s="4" t="b">
        <f t="shared" si="29"/>
        <v>1</v>
      </c>
    </row>
    <row r="297" spans="2:17" ht="15" x14ac:dyDescent="0.2">
      <c r="B297">
        <v>0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0</v>
      </c>
      <c r="L297" s="4" t="b">
        <f t="shared" si="24"/>
        <v>0</v>
      </c>
      <c r="M297" s="4" t="b">
        <f t="shared" si="25"/>
        <v>0</v>
      </c>
      <c r="N297" s="4" t="b">
        <f t="shared" si="26"/>
        <v>0</v>
      </c>
      <c r="O297" s="4" t="b">
        <f t="shared" si="27"/>
        <v>0</v>
      </c>
      <c r="P297" s="4" t="b">
        <f t="shared" si="28"/>
        <v>0</v>
      </c>
      <c r="Q297" s="4" t="b">
        <f t="shared" si="29"/>
        <v>0</v>
      </c>
    </row>
    <row r="298" spans="2:17" ht="15" x14ac:dyDescent="0.2">
      <c r="B298">
        <v>0</v>
      </c>
      <c r="C298">
        <v>1</v>
      </c>
      <c r="D298">
        <v>1</v>
      </c>
      <c r="E298">
        <v>0</v>
      </c>
      <c r="F298">
        <v>1</v>
      </c>
      <c r="G298">
        <v>0</v>
      </c>
      <c r="H298">
        <v>1</v>
      </c>
      <c r="I298">
        <v>1</v>
      </c>
      <c r="J298">
        <v>1</v>
      </c>
      <c r="L298" s="4" t="b">
        <f t="shared" si="24"/>
        <v>0</v>
      </c>
      <c r="M298" s="4" t="b">
        <f t="shared" si="25"/>
        <v>0</v>
      </c>
      <c r="N298" s="4" t="b">
        <f t="shared" si="26"/>
        <v>1</v>
      </c>
      <c r="O298" s="4" t="b">
        <f t="shared" si="27"/>
        <v>0</v>
      </c>
      <c r="P298" s="4" t="b">
        <f t="shared" si="28"/>
        <v>1</v>
      </c>
      <c r="Q298" s="4" t="b">
        <f t="shared" si="29"/>
        <v>0</v>
      </c>
    </row>
    <row r="299" spans="2:17" ht="15" x14ac:dyDescent="0.2">
      <c r="B299">
        <v>0</v>
      </c>
      <c r="C299">
        <v>1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0</v>
      </c>
      <c r="L299" s="4" t="b">
        <f t="shared" si="24"/>
        <v>0</v>
      </c>
      <c r="M299" s="4" t="b">
        <f t="shared" si="25"/>
        <v>0</v>
      </c>
      <c r="N299" s="4" t="b">
        <f t="shared" si="26"/>
        <v>0</v>
      </c>
      <c r="O299" s="4" t="b">
        <f t="shared" si="27"/>
        <v>0</v>
      </c>
      <c r="P299" s="4" t="b">
        <f t="shared" si="28"/>
        <v>1</v>
      </c>
      <c r="Q299" s="4" t="b">
        <f t="shared" si="29"/>
        <v>0</v>
      </c>
    </row>
    <row r="300" spans="2:17" ht="15" x14ac:dyDescent="0.2">
      <c r="B300">
        <v>0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1</v>
      </c>
      <c r="L300" s="4" t="b">
        <f t="shared" si="24"/>
        <v>0</v>
      </c>
      <c r="M300" s="4" t="b">
        <f t="shared" si="25"/>
        <v>0</v>
      </c>
      <c r="N300" s="4" t="b">
        <f t="shared" si="26"/>
        <v>0</v>
      </c>
      <c r="O300" s="4" t="b">
        <f t="shared" si="27"/>
        <v>0</v>
      </c>
      <c r="P300" s="4" t="b">
        <f t="shared" si="28"/>
        <v>0</v>
      </c>
      <c r="Q300" s="4" t="b">
        <f t="shared" si="29"/>
        <v>0</v>
      </c>
    </row>
    <row r="301" spans="2:17" ht="15" x14ac:dyDescent="0.2">
      <c r="B301">
        <v>0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0</v>
      </c>
      <c r="L301" s="4" t="b">
        <f t="shared" si="24"/>
        <v>0</v>
      </c>
      <c r="M301" s="4" t="b">
        <f t="shared" si="25"/>
        <v>0</v>
      </c>
      <c r="N301" s="4" t="b">
        <f t="shared" si="26"/>
        <v>0</v>
      </c>
      <c r="O301" s="4" t="b">
        <f t="shared" si="27"/>
        <v>0</v>
      </c>
      <c r="P301" s="4" t="b">
        <f t="shared" si="28"/>
        <v>0</v>
      </c>
      <c r="Q301" s="4" t="b">
        <f t="shared" si="29"/>
        <v>0</v>
      </c>
    </row>
    <row r="302" spans="2:17" ht="15" x14ac:dyDescent="0.2">
      <c r="B302">
        <v>0</v>
      </c>
      <c r="C302">
        <v>1</v>
      </c>
      <c r="D302">
        <v>1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1</v>
      </c>
      <c r="L302" s="4" t="b">
        <f t="shared" si="24"/>
        <v>0</v>
      </c>
      <c r="M302" s="4" t="b">
        <f t="shared" si="25"/>
        <v>0</v>
      </c>
      <c r="N302" s="4" t="b">
        <f t="shared" si="26"/>
        <v>0</v>
      </c>
      <c r="O302" s="4" t="b">
        <f t="shared" si="27"/>
        <v>0</v>
      </c>
      <c r="P302" s="4" t="b">
        <f t="shared" si="28"/>
        <v>1</v>
      </c>
      <c r="Q302" s="4" t="b">
        <f t="shared" si="29"/>
        <v>0</v>
      </c>
    </row>
    <row r="303" spans="2:17" ht="15" x14ac:dyDescent="0.2">
      <c r="B303">
        <v>0</v>
      </c>
      <c r="C303">
        <v>1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1</v>
      </c>
      <c r="J303">
        <v>0</v>
      </c>
      <c r="L303" s="4" t="b">
        <f t="shared" si="24"/>
        <v>0</v>
      </c>
      <c r="M303" s="4" t="b">
        <f t="shared" si="25"/>
        <v>0</v>
      </c>
      <c r="N303" s="4" t="b">
        <f t="shared" si="26"/>
        <v>0</v>
      </c>
      <c r="O303" s="4" t="b">
        <f t="shared" si="27"/>
        <v>0</v>
      </c>
      <c r="P303" s="4" t="b">
        <f t="shared" si="28"/>
        <v>1</v>
      </c>
      <c r="Q303" s="4" t="b">
        <f t="shared" si="29"/>
        <v>0</v>
      </c>
    </row>
    <row r="304" spans="2:17" ht="15" x14ac:dyDescent="0.2">
      <c r="B304">
        <v>0</v>
      </c>
      <c r="C304">
        <v>1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1</v>
      </c>
      <c r="L304" s="4" t="b">
        <f t="shared" si="24"/>
        <v>0</v>
      </c>
      <c r="M304" s="4" t="b">
        <f t="shared" si="25"/>
        <v>0</v>
      </c>
      <c r="N304" s="4" t="b">
        <f t="shared" si="26"/>
        <v>0</v>
      </c>
      <c r="O304" s="4" t="b">
        <f t="shared" si="27"/>
        <v>0</v>
      </c>
      <c r="P304" s="4" t="b">
        <f t="shared" si="28"/>
        <v>0</v>
      </c>
      <c r="Q304" s="4" t="b">
        <f t="shared" si="29"/>
        <v>0</v>
      </c>
    </row>
    <row r="305" spans="2:17" ht="15" x14ac:dyDescent="0.2">
      <c r="B305">
        <v>0</v>
      </c>
      <c r="C305">
        <v>1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L305" s="4" t="b">
        <f t="shared" si="24"/>
        <v>0</v>
      </c>
      <c r="M305" s="4" t="b">
        <f t="shared" si="25"/>
        <v>0</v>
      </c>
      <c r="N305" s="4" t="b">
        <f t="shared" si="26"/>
        <v>0</v>
      </c>
      <c r="O305" s="4" t="b">
        <f t="shared" si="27"/>
        <v>0</v>
      </c>
      <c r="P305" s="4" t="b">
        <f t="shared" si="28"/>
        <v>0</v>
      </c>
      <c r="Q305" s="4" t="b">
        <f t="shared" si="29"/>
        <v>0</v>
      </c>
    </row>
    <row r="306" spans="2:17" ht="15" x14ac:dyDescent="0.2">
      <c r="B306">
        <v>0</v>
      </c>
      <c r="C306">
        <v>1</v>
      </c>
      <c r="D306">
        <v>1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1</v>
      </c>
      <c r="L306" s="4" t="b">
        <f t="shared" si="24"/>
        <v>0</v>
      </c>
      <c r="M306" s="4" t="b">
        <f t="shared" si="25"/>
        <v>0</v>
      </c>
      <c r="N306" s="4" t="b">
        <f t="shared" si="26"/>
        <v>1</v>
      </c>
      <c r="O306" s="4" t="b">
        <f t="shared" si="27"/>
        <v>0</v>
      </c>
      <c r="P306" s="4" t="b">
        <f t="shared" si="28"/>
        <v>0</v>
      </c>
      <c r="Q306" s="4" t="b">
        <f t="shared" si="29"/>
        <v>1</v>
      </c>
    </row>
    <row r="307" spans="2:17" ht="15" x14ac:dyDescent="0.2">
      <c r="B307">
        <v>0</v>
      </c>
      <c r="C307">
        <v>1</v>
      </c>
      <c r="D307">
        <v>1</v>
      </c>
      <c r="E307">
        <v>0</v>
      </c>
      <c r="F307">
        <v>0</v>
      </c>
      <c r="G307">
        <v>1</v>
      </c>
      <c r="H307">
        <v>1</v>
      </c>
      <c r="I307">
        <v>1</v>
      </c>
      <c r="J307">
        <v>0</v>
      </c>
      <c r="L307" s="4" t="b">
        <f t="shared" si="24"/>
        <v>0</v>
      </c>
      <c r="M307" s="4" t="b">
        <f t="shared" si="25"/>
        <v>0</v>
      </c>
      <c r="N307" s="4" t="b">
        <f t="shared" si="26"/>
        <v>0</v>
      </c>
      <c r="O307" s="4" t="b">
        <f t="shared" si="27"/>
        <v>0</v>
      </c>
      <c r="P307" s="4" t="b">
        <f t="shared" si="28"/>
        <v>0</v>
      </c>
      <c r="Q307" s="4" t="b">
        <f t="shared" si="29"/>
        <v>0</v>
      </c>
    </row>
    <row r="308" spans="2:17" ht="15" x14ac:dyDescent="0.2">
      <c r="B308">
        <v>0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1</v>
      </c>
      <c r="L308" s="4" t="b">
        <f t="shared" si="24"/>
        <v>0</v>
      </c>
      <c r="M308" s="4" t="b">
        <f t="shared" si="25"/>
        <v>0</v>
      </c>
      <c r="N308" s="4" t="b">
        <f t="shared" si="26"/>
        <v>0</v>
      </c>
      <c r="O308" s="4" t="b">
        <f t="shared" si="27"/>
        <v>0</v>
      </c>
      <c r="P308" s="4" t="b">
        <f t="shared" si="28"/>
        <v>0</v>
      </c>
      <c r="Q308" s="4" t="b">
        <f t="shared" si="29"/>
        <v>1</v>
      </c>
    </row>
    <row r="309" spans="2:17" ht="15" x14ac:dyDescent="0.2">
      <c r="B309">
        <v>0</v>
      </c>
      <c r="C309">
        <v>1</v>
      </c>
      <c r="D309">
        <v>1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L309" s="4" t="b">
        <f t="shared" si="24"/>
        <v>0</v>
      </c>
      <c r="M309" s="4" t="b">
        <f t="shared" si="25"/>
        <v>0</v>
      </c>
      <c r="N309" s="4" t="b">
        <f t="shared" si="26"/>
        <v>0</v>
      </c>
      <c r="O309" s="4" t="b">
        <f t="shared" si="27"/>
        <v>0</v>
      </c>
      <c r="P309" s="4" t="b">
        <f t="shared" si="28"/>
        <v>0</v>
      </c>
      <c r="Q309" s="4" t="b">
        <f t="shared" si="29"/>
        <v>0</v>
      </c>
    </row>
    <row r="310" spans="2:17" ht="15" x14ac:dyDescent="0.2">
      <c r="B310">
        <v>0</v>
      </c>
      <c r="C310">
        <v>1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1</v>
      </c>
      <c r="J310">
        <v>1</v>
      </c>
      <c r="L310" s="4" t="b">
        <f t="shared" si="24"/>
        <v>0</v>
      </c>
      <c r="M310" s="4" t="b">
        <f t="shared" si="25"/>
        <v>0</v>
      </c>
      <c r="N310" s="4" t="b">
        <f t="shared" si="26"/>
        <v>0</v>
      </c>
      <c r="O310" s="4" t="b">
        <f t="shared" si="27"/>
        <v>0</v>
      </c>
      <c r="P310" s="4" t="b">
        <f t="shared" si="28"/>
        <v>0</v>
      </c>
      <c r="Q310" s="4" t="b">
        <f t="shared" si="29"/>
        <v>1</v>
      </c>
    </row>
    <row r="311" spans="2:17" ht="15" x14ac:dyDescent="0.2">
      <c r="B311">
        <v>0</v>
      </c>
      <c r="C311">
        <v>1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1</v>
      </c>
      <c r="J311">
        <v>0</v>
      </c>
      <c r="L311" s="4" t="b">
        <f t="shared" si="24"/>
        <v>0</v>
      </c>
      <c r="M311" s="4" t="b">
        <f t="shared" si="25"/>
        <v>0</v>
      </c>
      <c r="N311" s="4" t="b">
        <f t="shared" si="26"/>
        <v>0</v>
      </c>
      <c r="O311" s="4" t="b">
        <f t="shared" si="27"/>
        <v>0</v>
      </c>
      <c r="P311" s="4" t="b">
        <f t="shared" si="28"/>
        <v>0</v>
      </c>
      <c r="Q311" s="4" t="b">
        <f t="shared" si="29"/>
        <v>0</v>
      </c>
    </row>
    <row r="312" spans="2:17" ht="15" x14ac:dyDescent="0.2">
      <c r="B312">
        <v>0</v>
      </c>
      <c r="C312">
        <v>1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1</v>
      </c>
      <c r="L312" s="4" t="b">
        <f t="shared" si="24"/>
        <v>0</v>
      </c>
      <c r="M312" s="4" t="b">
        <f t="shared" si="25"/>
        <v>0</v>
      </c>
      <c r="N312" s="4" t="b">
        <f t="shared" si="26"/>
        <v>0</v>
      </c>
      <c r="O312" s="4" t="b">
        <f t="shared" si="27"/>
        <v>0</v>
      </c>
      <c r="P312" s="4" t="b">
        <f t="shared" si="28"/>
        <v>0</v>
      </c>
      <c r="Q312" s="4" t="b">
        <f t="shared" si="29"/>
        <v>1</v>
      </c>
    </row>
    <row r="313" spans="2:17" ht="15" x14ac:dyDescent="0.2">
      <c r="B313">
        <v>0</v>
      </c>
      <c r="C313">
        <v>1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L313" s="4" t="b">
        <f t="shared" si="24"/>
        <v>0</v>
      </c>
      <c r="M313" s="4" t="b">
        <f t="shared" si="25"/>
        <v>0</v>
      </c>
      <c r="N313" s="4" t="b">
        <f t="shared" si="26"/>
        <v>0</v>
      </c>
      <c r="O313" s="4" t="b">
        <f t="shared" si="27"/>
        <v>0</v>
      </c>
      <c r="P313" s="4" t="b">
        <f t="shared" si="28"/>
        <v>0</v>
      </c>
      <c r="Q313" s="4" t="b">
        <f t="shared" si="29"/>
        <v>0</v>
      </c>
    </row>
    <row r="314" spans="2:17" ht="15" x14ac:dyDescent="0.2">
      <c r="B314">
        <v>0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1</v>
      </c>
      <c r="L314" s="4" t="b">
        <f t="shared" si="24"/>
        <v>0</v>
      </c>
      <c r="M314" s="4" t="b">
        <f t="shared" si="25"/>
        <v>0</v>
      </c>
      <c r="N314" s="4" t="b">
        <f t="shared" si="26"/>
        <v>1</v>
      </c>
      <c r="O314" s="4" t="b">
        <f t="shared" si="27"/>
        <v>0</v>
      </c>
      <c r="P314" s="4" t="b">
        <f t="shared" si="28"/>
        <v>0</v>
      </c>
      <c r="Q314" s="4" t="b">
        <f t="shared" si="29"/>
        <v>0</v>
      </c>
    </row>
    <row r="315" spans="2:17" ht="15" x14ac:dyDescent="0.2">
      <c r="B315">
        <v>0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L315" s="4" t="b">
        <f t="shared" si="24"/>
        <v>0</v>
      </c>
      <c r="M315" s="4" t="b">
        <f t="shared" si="25"/>
        <v>0</v>
      </c>
      <c r="N315" s="4" t="b">
        <f t="shared" si="26"/>
        <v>0</v>
      </c>
      <c r="O315" s="4" t="b">
        <f t="shared" si="27"/>
        <v>0</v>
      </c>
      <c r="P315" s="4" t="b">
        <f t="shared" si="28"/>
        <v>0</v>
      </c>
      <c r="Q315" s="4" t="b">
        <f t="shared" si="29"/>
        <v>0</v>
      </c>
    </row>
    <row r="316" spans="2:17" ht="15" x14ac:dyDescent="0.2">
      <c r="B316">
        <v>0</v>
      </c>
      <c r="C316">
        <v>1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1</v>
      </c>
      <c r="L316" s="4" t="b">
        <f t="shared" si="24"/>
        <v>0</v>
      </c>
      <c r="M316" s="4" t="b">
        <f t="shared" si="25"/>
        <v>0</v>
      </c>
      <c r="N316" s="4" t="b">
        <f t="shared" si="26"/>
        <v>0</v>
      </c>
      <c r="O316" s="4" t="b">
        <f t="shared" si="27"/>
        <v>0</v>
      </c>
      <c r="P316" s="4" t="b">
        <f t="shared" si="28"/>
        <v>0</v>
      </c>
      <c r="Q316" s="4" t="b">
        <f t="shared" si="29"/>
        <v>0</v>
      </c>
    </row>
    <row r="317" spans="2:17" ht="15" x14ac:dyDescent="0.2"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L317" s="4" t="b">
        <f t="shared" si="24"/>
        <v>0</v>
      </c>
      <c r="M317" s="4" t="b">
        <f t="shared" si="25"/>
        <v>0</v>
      </c>
      <c r="N317" s="4" t="b">
        <f t="shared" si="26"/>
        <v>0</v>
      </c>
      <c r="O317" s="4" t="b">
        <f t="shared" si="27"/>
        <v>0</v>
      </c>
      <c r="P317" s="4" t="b">
        <f t="shared" si="28"/>
        <v>0</v>
      </c>
      <c r="Q317" s="4" t="b">
        <f t="shared" si="29"/>
        <v>0</v>
      </c>
    </row>
    <row r="318" spans="2:17" ht="15" x14ac:dyDescent="0.2">
      <c r="B318">
        <v>0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</v>
      </c>
      <c r="L318" s="4" t="b">
        <f t="shared" si="24"/>
        <v>0</v>
      </c>
      <c r="M318" s="4" t="b">
        <f t="shared" si="25"/>
        <v>0</v>
      </c>
      <c r="N318" s="4" t="b">
        <f t="shared" si="26"/>
        <v>0</v>
      </c>
      <c r="O318" s="4" t="b">
        <f t="shared" si="27"/>
        <v>0</v>
      </c>
      <c r="P318" s="4" t="b">
        <f t="shared" si="28"/>
        <v>0</v>
      </c>
      <c r="Q318" s="4" t="b">
        <f t="shared" si="29"/>
        <v>0</v>
      </c>
    </row>
    <row r="319" spans="2:17" ht="15" x14ac:dyDescent="0.2">
      <c r="B319">
        <v>0</v>
      </c>
      <c r="C319">
        <v>1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L319" s="4" t="b">
        <f t="shared" si="24"/>
        <v>0</v>
      </c>
      <c r="M319" s="4" t="b">
        <f t="shared" si="25"/>
        <v>0</v>
      </c>
      <c r="N319" s="4" t="b">
        <f t="shared" si="26"/>
        <v>0</v>
      </c>
      <c r="O319" s="4" t="b">
        <f t="shared" si="27"/>
        <v>0</v>
      </c>
      <c r="P319" s="4" t="b">
        <f t="shared" si="28"/>
        <v>0</v>
      </c>
      <c r="Q319" s="4" t="b">
        <f t="shared" si="29"/>
        <v>0</v>
      </c>
    </row>
    <row r="320" spans="2:17" ht="15" x14ac:dyDescent="0.2">
      <c r="B320">
        <v>0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L320" s="4" t="b">
        <f t="shared" si="24"/>
        <v>0</v>
      </c>
      <c r="M320" s="4" t="b">
        <f t="shared" si="25"/>
        <v>0</v>
      </c>
      <c r="N320" s="4" t="b">
        <f t="shared" si="26"/>
        <v>0</v>
      </c>
      <c r="O320" s="4" t="b">
        <f t="shared" si="27"/>
        <v>0</v>
      </c>
      <c r="P320" s="4" t="b">
        <f t="shared" si="28"/>
        <v>0</v>
      </c>
      <c r="Q320" s="4" t="b">
        <f t="shared" si="29"/>
        <v>0</v>
      </c>
    </row>
    <row r="321" spans="2:17" ht="15" x14ac:dyDescent="0.2">
      <c r="B321">
        <v>0</v>
      </c>
      <c r="C321">
        <v>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L321" s="4" t="b">
        <f t="shared" si="24"/>
        <v>0</v>
      </c>
      <c r="M321" s="4" t="b">
        <f t="shared" si="25"/>
        <v>0</v>
      </c>
      <c r="N321" s="4" t="b">
        <f t="shared" si="26"/>
        <v>0</v>
      </c>
      <c r="O321" s="4" t="b">
        <f t="shared" si="27"/>
        <v>0</v>
      </c>
      <c r="P321" s="4" t="b">
        <f t="shared" si="28"/>
        <v>0</v>
      </c>
      <c r="Q321" s="4" t="b">
        <f t="shared" si="29"/>
        <v>0</v>
      </c>
    </row>
    <row r="322" spans="2:17" ht="15" x14ac:dyDescent="0.2">
      <c r="B322">
        <v>0</v>
      </c>
      <c r="C322">
        <v>1</v>
      </c>
      <c r="D322">
        <v>0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L322" s="4" t="b">
        <f t="shared" ref="L322:L385" si="30">AND($B322&gt;=$V$2,$C322&gt;=$W$2,$D322&gt;=$X$2,$E322&gt;=$Y$2,$F322&gt;=$Z$2,$G322&gt;=$AA$2,$H322&gt;=$AB$2,$I322&gt;=$AC$2,$J322&gt;=$AD$2)</f>
        <v>0</v>
      </c>
      <c r="M322" s="4" t="b">
        <f t="shared" ref="M322:M385" si="31">AND($B322&gt;=$V$3,$C322&gt;=$W$3,$D322&gt;=$X$3,$E322&gt;=$Y$3,$F322&gt;=$Z$3,$G322&gt;=$AA$3,$H322&gt;=$AB$3,$I322&gt;=$AC$3,$J322&gt;=$AD$3)</f>
        <v>1</v>
      </c>
      <c r="N322" s="4" t="b">
        <f t="shared" ref="N322:N385" si="32">AND($B322&gt;=$V$4,$C322&gt;=$W$4,$D322&gt;=$X$4,$E322&gt;=$Y$4,$F322&gt;=$Z$4,$G322&gt;=$AA$4,$H322&gt;=$AB$4,$I322&gt;=$AC$4,$J322&gt;=$AD$4)</f>
        <v>1</v>
      </c>
      <c r="O322" s="4" t="b">
        <f t="shared" ref="O322:O385" si="33">AND($B322&gt;=$V$5,$C322&gt;=$W$5,$D322&gt;=$X$5,$E322&gt;=$Y$5,$F322&gt;=$Z$5,$G322&gt;=$AA$5,$H322&gt;=$AB$5,$I322&gt;=$AC$5,$J322&gt;=$AD$5)</f>
        <v>0</v>
      </c>
      <c r="P322" s="4" t="b">
        <f t="shared" ref="P322:P385" si="34">AND($B322&gt;=$V$6,$C322&gt;=$W$6,$D322&gt;=$X$6,$E322&gt;=$Y$6,$F322&gt;=$Z$6,$G322&gt;=$AA$6,$H322&gt;=$AB$6,$I322&gt;=$AC$6,$J322&gt;=$AD$6)</f>
        <v>1</v>
      </c>
      <c r="Q322" s="4" t="b">
        <f t="shared" ref="Q322:Q385" si="35">AND($B322&gt;=$V$7,$C322&gt;=$W$7,$D322&gt;=$X$7,$E322&gt;=$Y$7,$F322&gt;=$Z$7,$G322&gt;=$AA$7,$H322&gt;=$AB$7,$I322&gt;=$AC$7,$J322&gt;=$AD$7)</f>
        <v>0</v>
      </c>
    </row>
    <row r="323" spans="2:17" ht="15" x14ac:dyDescent="0.2">
      <c r="B323">
        <v>0</v>
      </c>
      <c r="C323">
        <v>1</v>
      </c>
      <c r="D323">
        <v>0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0</v>
      </c>
      <c r="L323" s="4" t="b">
        <f t="shared" si="30"/>
        <v>0</v>
      </c>
      <c r="M323" s="4" t="b">
        <f t="shared" si="31"/>
        <v>1</v>
      </c>
      <c r="N323" s="4" t="b">
        <f t="shared" si="32"/>
        <v>0</v>
      </c>
      <c r="O323" s="4" t="b">
        <f t="shared" si="33"/>
        <v>0</v>
      </c>
      <c r="P323" s="4" t="b">
        <f t="shared" si="34"/>
        <v>1</v>
      </c>
      <c r="Q323" s="4" t="b">
        <f t="shared" si="35"/>
        <v>0</v>
      </c>
    </row>
    <row r="324" spans="2:17" ht="15" x14ac:dyDescent="0.2">
      <c r="B324">
        <v>0</v>
      </c>
      <c r="C324">
        <v>1</v>
      </c>
      <c r="D324">
        <v>0</v>
      </c>
      <c r="E324">
        <v>1</v>
      </c>
      <c r="F324">
        <v>1</v>
      </c>
      <c r="G324">
        <v>1</v>
      </c>
      <c r="H324">
        <v>1</v>
      </c>
      <c r="I324">
        <v>0</v>
      </c>
      <c r="J324">
        <v>1</v>
      </c>
      <c r="L324" s="4" t="b">
        <f t="shared" si="30"/>
        <v>0</v>
      </c>
      <c r="M324" s="4" t="b">
        <f t="shared" si="31"/>
        <v>1</v>
      </c>
      <c r="N324" s="4" t="b">
        <f t="shared" si="32"/>
        <v>0</v>
      </c>
      <c r="O324" s="4" t="b">
        <f t="shared" si="33"/>
        <v>0</v>
      </c>
      <c r="P324" s="4" t="b">
        <f t="shared" si="34"/>
        <v>0</v>
      </c>
      <c r="Q324" s="4" t="b">
        <f t="shared" si="35"/>
        <v>0</v>
      </c>
    </row>
    <row r="325" spans="2:17" ht="15" x14ac:dyDescent="0.2">
      <c r="B325">
        <v>0</v>
      </c>
      <c r="C325">
        <v>1</v>
      </c>
      <c r="D325">
        <v>0</v>
      </c>
      <c r="E325">
        <v>1</v>
      </c>
      <c r="F325">
        <v>1</v>
      </c>
      <c r="G325">
        <v>1</v>
      </c>
      <c r="H325">
        <v>1</v>
      </c>
      <c r="I325">
        <v>0</v>
      </c>
      <c r="J325">
        <v>0</v>
      </c>
      <c r="L325" s="4" t="b">
        <f t="shared" si="30"/>
        <v>0</v>
      </c>
      <c r="M325" s="4" t="b">
        <f t="shared" si="31"/>
        <v>1</v>
      </c>
      <c r="N325" s="4" t="b">
        <f t="shared" si="32"/>
        <v>0</v>
      </c>
      <c r="O325" s="4" t="b">
        <f t="shared" si="33"/>
        <v>0</v>
      </c>
      <c r="P325" s="4" t="b">
        <f t="shared" si="34"/>
        <v>0</v>
      </c>
      <c r="Q325" s="4" t="b">
        <f t="shared" si="35"/>
        <v>0</v>
      </c>
    </row>
    <row r="326" spans="2:17" ht="15" x14ac:dyDescent="0.2">
      <c r="B326">
        <v>0</v>
      </c>
      <c r="C326">
        <v>1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1</v>
      </c>
      <c r="J326">
        <v>1</v>
      </c>
      <c r="L326" s="4" t="b">
        <f t="shared" si="30"/>
        <v>0</v>
      </c>
      <c r="M326" s="4" t="b">
        <f t="shared" si="31"/>
        <v>1</v>
      </c>
      <c r="N326" s="4" t="b">
        <f t="shared" si="32"/>
        <v>0</v>
      </c>
      <c r="O326" s="4" t="b">
        <f t="shared" si="33"/>
        <v>0</v>
      </c>
      <c r="P326" s="4" t="b">
        <f t="shared" si="34"/>
        <v>1</v>
      </c>
      <c r="Q326" s="4" t="b">
        <f t="shared" si="35"/>
        <v>0</v>
      </c>
    </row>
    <row r="327" spans="2:17" ht="15" x14ac:dyDescent="0.2">
      <c r="B327">
        <v>0</v>
      </c>
      <c r="C327">
        <v>1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0</v>
      </c>
      <c r="L327" s="4" t="b">
        <f t="shared" si="30"/>
        <v>0</v>
      </c>
      <c r="M327" s="4" t="b">
        <f t="shared" si="31"/>
        <v>1</v>
      </c>
      <c r="N327" s="4" t="b">
        <f t="shared" si="32"/>
        <v>0</v>
      </c>
      <c r="O327" s="4" t="b">
        <f t="shared" si="33"/>
        <v>0</v>
      </c>
      <c r="P327" s="4" t="b">
        <f t="shared" si="34"/>
        <v>1</v>
      </c>
      <c r="Q327" s="4" t="b">
        <f t="shared" si="35"/>
        <v>0</v>
      </c>
    </row>
    <row r="328" spans="2:17" ht="15" x14ac:dyDescent="0.2">
      <c r="B328">
        <v>0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1</v>
      </c>
      <c r="L328" s="4" t="b">
        <f t="shared" si="30"/>
        <v>0</v>
      </c>
      <c r="M328" s="4" t="b">
        <f t="shared" si="31"/>
        <v>1</v>
      </c>
      <c r="N328" s="4" t="b">
        <f t="shared" si="32"/>
        <v>0</v>
      </c>
      <c r="O328" s="4" t="b">
        <f t="shared" si="33"/>
        <v>0</v>
      </c>
      <c r="P328" s="4" t="b">
        <f t="shared" si="34"/>
        <v>0</v>
      </c>
      <c r="Q328" s="4" t="b">
        <f t="shared" si="35"/>
        <v>0</v>
      </c>
    </row>
    <row r="329" spans="2:17" ht="15" x14ac:dyDescent="0.2">
      <c r="B329">
        <v>0</v>
      </c>
      <c r="C329">
        <v>1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L329" s="4" t="b">
        <f t="shared" si="30"/>
        <v>0</v>
      </c>
      <c r="M329" s="4" t="b">
        <f t="shared" si="31"/>
        <v>1</v>
      </c>
      <c r="N329" s="4" t="b">
        <f t="shared" si="32"/>
        <v>0</v>
      </c>
      <c r="O329" s="4" t="b">
        <f t="shared" si="33"/>
        <v>0</v>
      </c>
      <c r="P329" s="4" t="b">
        <f t="shared" si="34"/>
        <v>0</v>
      </c>
      <c r="Q329" s="4" t="b">
        <f t="shared" si="35"/>
        <v>0</v>
      </c>
    </row>
    <row r="330" spans="2:17" ht="15" x14ac:dyDescent="0.2">
      <c r="B330">
        <v>0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1</v>
      </c>
      <c r="I330">
        <v>1</v>
      </c>
      <c r="J330">
        <v>1</v>
      </c>
      <c r="L330" s="4" t="b">
        <f t="shared" si="30"/>
        <v>0</v>
      </c>
      <c r="M330" s="4" t="b">
        <f t="shared" si="31"/>
        <v>0</v>
      </c>
      <c r="N330" s="4" t="b">
        <f t="shared" si="32"/>
        <v>1</v>
      </c>
      <c r="O330" s="4" t="b">
        <f t="shared" si="33"/>
        <v>0</v>
      </c>
      <c r="P330" s="4" t="b">
        <f t="shared" si="34"/>
        <v>1</v>
      </c>
      <c r="Q330" s="4" t="b">
        <f t="shared" si="35"/>
        <v>0</v>
      </c>
    </row>
    <row r="331" spans="2:17" ht="15" x14ac:dyDescent="0.2">
      <c r="B331">
        <v>0</v>
      </c>
      <c r="C331">
        <v>1</v>
      </c>
      <c r="D331">
        <v>0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0</v>
      </c>
      <c r="L331" s="4" t="b">
        <f t="shared" si="30"/>
        <v>0</v>
      </c>
      <c r="M331" s="4" t="b">
        <f t="shared" si="31"/>
        <v>0</v>
      </c>
      <c r="N331" s="4" t="b">
        <f t="shared" si="32"/>
        <v>0</v>
      </c>
      <c r="O331" s="4" t="b">
        <f t="shared" si="33"/>
        <v>0</v>
      </c>
      <c r="P331" s="4" t="b">
        <f t="shared" si="34"/>
        <v>1</v>
      </c>
      <c r="Q331" s="4" t="b">
        <f t="shared" si="35"/>
        <v>0</v>
      </c>
    </row>
    <row r="332" spans="2:17" ht="15" x14ac:dyDescent="0.2">
      <c r="B332">
        <v>0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1</v>
      </c>
      <c r="I332">
        <v>0</v>
      </c>
      <c r="J332">
        <v>1</v>
      </c>
      <c r="L332" s="4" t="b">
        <f t="shared" si="30"/>
        <v>0</v>
      </c>
      <c r="M332" s="4" t="b">
        <f t="shared" si="31"/>
        <v>0</v>
      </c>
      <c r="N332" s="4" t="b">
        <f t="shared" si="32"/>
        <v>0</v>
      </c>
      <c r="O332" s="4" t="b">
        <f t="shared" si="33"/>
        <v>0</v>
      </c>
      <c r="P332" s="4" t="b">
        <f t="shared" si="34"/>
        <v>0</v>
      </c>
      <c r="Q332" s="4" t="b">
        <f t="shared" si="35"/>
        <v>0</v>
      </c>
    </row>
    <row r="333" spans="2:17" ht="15" x14ac:dyDescent="0.2">
      <c r="B333">
        <v>0</v>
      </c>
      <c r="C333">
        <v>1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0</v>
      </c>
      <c r="J333">
        <v>0</v>
      </c>
      <c r="L333" s="4" t="b">
        <f t="shared" si="30"/>
        <v>0</v>
      </c>
      <c r="M333" s="4" t="b">
        <f t="shared" si="31"/>
        <v>0</v>
      </c>
      <c r="N333" s="4" t="b">
        <f t="shared" si="32"/>
        <v>0</v>
      </c>
      <c r="O333" s="4" t="b">
        <f t="shared" si="33"/>
        <v>0</v>
      </c>
      <c r="P333" s="4" t="b">
        <f t="shared" si="34"/>
        <v>0</v>
      </c>
      <c r="Q333" s="4" t="b">
        <f t="shared" si="35"/>
        <v>0</v>
      </c>
    </row>
    <row r="334" spans="2:17" ht="15" x14ac:dyDescent="0.2">
      <c r="B334">
        <v>0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1</v>
      </c>
      <c r="L334" s="4" t="b">
        <f t="shared" si="30"/>
        <v>0</v>
      </c>
      <c r="M334" s="4" t="b">
        <f t="shared" si="31"/>
        <v>0</v>
      </c>
      <c r="N334" s="4" t="b">
        <f t="shared" si="32"/>
        <v>0</v>
      </c>
      <c r="O334" s="4" t="b">
        <f t="shared" si="33"/>
        <v>0</v>
      </c>
      <c r="P334" s="4" t="b">
        <f t="shared" si="34"/>
        <v>1</v>
      </c>
      <c r="Q334" s="4" t="b">
        <f t="shared" si="35"/>
        <v>0</v>
      </c>
    </row>
    <row r="335" spans="2:17" ht="15" x14ac:dyDescent="0.2">
      <c r="B335">
        <v>0</v>
      </c>
      <c r="C335">
        <v>1</v>
      </c>
      <c r="D335">
        <v>0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L335" s="4" t="b">
        <f t="shared" si="30"/>
        <v>0</v>
      </c>
      <c r="M335" s="4" t="b">
        <f t="shared" si="31"/>
        <v>0</v>
      </c>
      <c r="N335" s="4" t="b">
        <f t="shared" si="32"/>
        <v>0</v>
      </c>
      <c r="O335" s="4" t="b">
        <f t="shared" si="33"/>
        <v>0</v>
      </c>
      <c r="P335" s="4" t="b">
        <f t="shared" si="34"/>
        <v>1</v>
      </c>
      <c r="Q335" s="4" t="b">
        <f t="shared" si="35"/>
        <v>0</v>
      </c>
    </row>
    <row r="336" spans="2:17" ht="15" x14ac:dyDescent="0.2">
      <c r="B336">
        <v>0</v>
      </c>
      <c r="C336">
        <v>1</v>
      </c>
      <c r="D336">
        <v>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1</v>
      </c>
      <c r="L336" s="4" t="b">
        <f t="shared" si="30"/>
        <v>0</v>
      </c>
      <c r="M336" s="4" t="b">
        <f t="shared" si="31"/>
        <v>0</v>
      </c>
      <c r="N336" s="4" t="b">
        <f t="shared" si="32"/>
        <v>0</v>
      </c>
      <c r="O336" s="4" t="b">
        <f t="shared" si="33"/>
        <v>0</v>
      </c>
      <c r="P336" s="4" t="b">
        <f t="shared" si="34"/>
        <v>0</v>
      </c>
      <c r="Q336" s="4" t="b">
        <f t="shared" si="35"/>
        <v>0</v>
      </c>
    </row>
    <row r="337" spans="2:17" ht="15" x14ac:dyDescent="0.2">
      <c r="B337">
        <v>0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0</v>
      </c>
      <c r="L337" s="4" t="b">
        <f t="shared" si="30"/>
        <v>0</v>
      </c>
      <c r="M337" s="4" t="b">
        <f t="shared" si="31"/>
        <v>0</v>
      </c>
      <c r="N337" s="4" t="b">
        <f t="shared" si="32"/>
        <v>0</v>
      </c>
      <c r="O337" s="4" t="b">
        <f t="shared" si="33"/>
        <v>0</v>
      </c>
      <c r="P337" s="4" t="b">
        <f t="shared" si="34"/>
        <v>0</v>
      </c>
      <c r="Q337" s="4" t="b">
        <f t="shared" si="35"/>
        <v>0</v>
      </c>
    </row>
    <row r="338" spans="2:17" ht="15" x14ac:dyDescent="0.2">
      <c r="B338">
        <v>0</v>
      </c>
      <c r="C338">
        <v>1</v>
      </c>
      <c r="D338">
        <v>0</v>
      </c>
      <c r="E338">
        <v>1</v>
      </c>
      <c r="F338">
        <v>0</v>
      </c>
      <c r="G338">
        <v>1</v>
      </c>
      <c r="H338">
        <v>1</v>
      </c>
      <c r="I338">
        <v>1</v>
      </c>
      <c r="J338">
        <v>1</v>
      </c>
      <c r="L338" s="4" t="b">
        <f t="shared" si="30"/>
        <v>0</v>
      </c>
      <c r="M338" s="4" t="b">
        <f t="shared" si="31"/>
        <v>0</v>
      </c>
      <c r="N338" s="4" t="b">
        <f t="shared" si="32"/>
        <v>1</v>
      </c>
      <c r="O338" s="4" t="b">
        <f t="shared" si="33"/>
        <v>0</v>
      </c>
      <c r="P338" s="4" t="b">
        <f t="shared" si="34"/>
        <v>0</v>
      </c>
      <c r="Q338" s="4" t="b">
        <f t="shared" si="35"/>
        <v>0</v>
      </c>
    </row>
    <row r="339" spans="2:17" ht="15" x14ac:dyDescent="0.2">
      <c r="B339">
        <v>0</v>
      </c>
      <c r="C339">
        <v>1</v>
      </c>
      <c r="D339">
        <v>0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0</v>
      </c>
      <c r="L339" s="4" t="b">
        <f t="shared" si="30"/>
        <v>0</v>
      </c>
      <c r="M339" s="4" t="b">
        <f t="shared" si="31"/>
        <v>0</v>
      </c>
      <c r="N339" s="4" t="b">
        <f t="shared" si="32"/>
        <v>0</v>
      </c>
      <c r="O339" s="4" t="b">
        <f t="shared" si="33"/>
        <v>0</v>
      </c>
      <c r="P339" s="4" t="b">
        <f t="shared" si="34"/>
        <v>0</v>
      </c>
      <c r="Q339" s="4" t="b">
        <f t="shared" si="35"/>
        <v>0</v>
      </c>
    </row>
    <row r="340" spans="2:17" ht="15" x14ac:dyDescent="0.2">
      <c r="B340">
        <v>0</v>
      </c>
      <c r="C340">
        <v>1</v>
      </c>
      <c r="D340">
        <v>0</v>
      </c>
      <c r="E340">
        <v>1</v>
      </c>
      <c r="F340">
        <v>0</v>
      </c>
      <c r="G340">
        <v>1</v>
      </c>
      <c r="H340">
        <v>1</v>
      </c>
      <c r="I340">
        <v>0</v>
      </c>
      <c r="J340">
        <v>1</v>
      </c>
      <c r="L340" s="4" t="b">
        <f t="shared" si="30"/>
        <v>0</v>
      </c>
      <c r="M340" s="4" t="b">
        <f t="shared" si="31"/>
        <v>0</v>
      </c>
      <c r="N340" s="4" t="b">
        <f t="shared" si="32"/>
        <v>0</v>
      </c>
      <c r="O340" s="4" t="b">
        <f t="shared" si="33"/>
        <v>0</v>
      </c>
      <c r="P340" s="4" t="b">
        <f t="shared" si="34"/>
        <v>0</v>
      </c>
      <c r="Q340" s="4" t="b">
        <f t="shared" si="35"/>
        <v>0</v>
      </c>
    </row>
    <row r="341" spans="2:17" ht="15" x14ac:dyDescent="0.2">
      <c r="B341">
        <v>0</v>
      </c>
      <c r="C341">
        <v>1</v>
      </c>
      <c r="D341">
        <v>0</v>
      </c>
      <c r="E341">
        <v>1</v>
      </c>
      <c r="F341">
        <v>0</v>
      </c>
      <c r="G341">
        <v>1</v>
      </c>
      <c r="H341">
        <v>1</v>
      </c>
      <c r="I341">
        <v>0</v>
      </c>
      <c r="J341">
        <v>0</v>
      </c>
      <c r="L341" s="4" t="b">
        <f t="shared" si="30"/>
        <v>0</v>
      </c>
      <c r="M341" s="4" t="b">
        <f t="shared" si="31"/>
        <v>0</v>
      </c>
      <c r="N341" s="4" t="b">
        <f t="shared" si="32"/>
        <v>0</v>
      </c>
      <c r="O341" s="4" t="b">
        <f t="shared" si="33"/>
        <v>0</v>
      </c>
      <c r="P341" s="4" t="b">
        <f t="shared" si="34"/>
        <v>0</v>
      </c>
      <c r="Q341" s="4" t="b">
        <f t="shared" si="35"/>
        <v>0</v>
      </c>
    </row>
    <row r="342" spans="2:17" ht="15" x14ac:dyDescent="0.2">
      <c r="B342">
        <v>0</v>
      </c>
      <c r="C342">
        <v>1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1</v>
      </c>
      <c r="L342" s="4" t="b">
        <f t="shared" si="30"/>
        <v>0</v>
      </c>
      <c r="M342" s="4" t="b">
        <f t="shared" si="31"/>
        <v>0</v>
      </c>
      <c r="N342" s="4" t="b">
        <f t="shared" si="32"/>
        <v>0</v>
      </c>
      <c r="O342" s="4" t="b">
        <f t="shared" si="33"/>
        <v>0</v>
      </c>
      <c r="P342" s="4" t="b">
        <f t="shared" si="34"/>
        <v>0</v>
      </c>
      <c r="Q342" s="4" t="b">
        <f t="shared" si="35"/>
        <v>0</v>
      </c>
    </row>
    <row r="343" spans="2:17" ht="15" x14ac:dyDescent="0.2">
      <c r="B343">
        <v>0</v>
      </c>
      <c r="C343">
        <v>1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1</v>
      </c>
      <c r="J343">
        <v>0</v>
      </c>
      <c r="L343" s="4" t="b">
        <f t="shared" si="30"/>
        <v>0</v>
      </c>
      <c r="M343" s="4" t="b">
        <f t="shared" si="31"/>
        <v>0</v>
      </c>
      <c r="N343" s="4" t="b">
        <f t="shared" si="32"/>
        <v>0</v>
      </c>
      <c r="O343" s="4" t="b">
        <f t="shared" si="33"/>
        <v>0</v>
      </c>
      <c r="P343" s="4" t="b">
        <f t="shared" si="34"/>
        <v>0</v>
      </c>
      <c r="Q343" s="4" t="b">
        <f t="shared" si="35"/>
        <v>0</v>
      </c>
    </row>
    <row r="344" spans="2:17" ht="15" x14ac:dyDescent="0.2">
      <c r="B344">
        <v>0</v>
      </c>
      <c r="C344">
        <v>1</v>
      </c>
      <c r="D344">
        <v>0</v>
      </c>
      <c r="E344">
        <v>1</v>
      </c>
      <c r="F344">
        <v>0</v>
      </c>
      <c r="G344">
        <v>1</v>
      </c>
      <c r="H344">
        <v>0</v>
      </c>
      <c r="I344">
        <v>0</v>
      </c>
      <c r="J344">
        <v>1</v>
      </c>
      <c r="L344" s="4" t="b">
        <f t="shared" si="30"/>
        <v>0</v>
      </c>
      <c r="M344" s="4" t="b">
        <f t="shared" si="31"/>
        <v>0</v>
      </c>
      <c r="N344" s="4" t="b">
        <f t="shared" si="32"/>
        <v>0</v>
      </c>
      <c r="O344" s="4" t="b">
        <f t="shared" si="33"/>
        <v>0</v>
      </c>
      <c r="P344" s="4" t="b">
        <f t="shared" si="34"/>
        <v>0</v>
      </c>
      <c r="Q344" s="4" t="b">
        <f t="shared" si="35"/>
        <v>0</v>
      </c>
    </row>
    <row r="345" spans="2:17" ht="15" x14ac:dyDescent="0.2">
      <c r="B345">
        <v>0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0</v>
      </c>
      <c r="I345">
        <v>0</v>
      </c>
      <c r="J345">
        <v>0</v>
      </c>
      <c r="L345" s="4" t="b">
        <f t="shared" si="30"/>
        <v>0</v>
      </c>
      <c r="M345" s="4" t="b">
        <f t="shared" si="31"/>
        <v>0</v>
      </c>
      <c r="N345" s="4" t="b">
        <f t="shared" si="32"/>
        <v>0</v>
      </c>
      <c r="O345" s="4" t="b">
        <f t="shared" si="33"/>
        <v>0</v>
      </c>
      <c r="P345" s="4" t="b">
        <f t="shared" si="34"/>
        <v>0</v>
      </c>
      <c r="Q345" s="4" t="b">
        <f t="shared" si="35"/>
        <v>0</v>
      </c>
    </row>
    <row r="346" spans="2:17" ht="15" x14ac:dyDescent="0.2">
      <c r="B346">
        <v>0</v>
      </c>
      <c r="C346">
        <v>1</v>
      </c>
      <c r="D346">
        <v>0</v>
      </c>
      <c r="E346">
        <v>1</v>
      </c>
      <c r="F346">
        <v>0</v>
      </c>
      <c r="G346">
        <v>0</v>
      </c>
      <c r="H346">
        <v>1</v>
      </c>
      <c r="I346">
        <v>1</v>
      </c>
      <c r="J346">
        <v>1</v>
      </c>
      <c r="L346" s="4" t="b">
        <f t="shared" si="30"/>
        <v>0</v>
      </c>
      <c r="M346" s="4" t="b">
        <f t="shared" si="31"/>
        <v>0</v>
      </c>
      <c r="N346" s="4" t="b">
        <f t="shared" si="32"/>
        <v>1</v>
      </c>
      <c r="O346" s="4" t="b">
        <f t="shared" si="33"/>
        <v>0</v>
      </c>
      <c r="P346" s="4" t="b">
        <f t="shared" si="34"/>
        <v>0</v>
      </c>
      <c r="Q346" s="4" t="b">
        <f t="shared" si="35"/>
        <v>0</v>
      </c>
    </row>
    <row r="347" spans="2:17" ht="15" x14ac:dyDescent="0.2">
      <c r="B347">
        <v>0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1</v>
      </c>
      <c r="J347">
        <v>0</v>
      </c>
      <c r="L347" s="4" t="b">
        <f t="shared" si="30"/>
        <v>0</v>
      </c>
      <c r="M347" s="4" t="b">
        <f t="shared" si="31"/>
        <v>0</v>
      </c>
      <c r="N347" s="4" t="b">
        <f t="shared" si="32"/>
        <v>0</v>
      </c>
      <c r="O347" s="4" t="b">
        <f t="shared" si="33"/>
        <v>0</v>
      </c>
      <c r="P347" s="4" t="b">
        <f t="shared" si="34"/>
        <v>0</v>
      </c>
      <c r="Q347" s="4" t="b">
        <f t="shared" si="35"/>
        <v>0</v>
      </c>
    </row>
    <row r="348" spans="2:17" ht="15" x14ac:dyDescent="0.2">
      <c r="B348">
        <v>0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1</v>
      </c>
      <c r="L348" s="4" t="b">
        <f t="shared" si="30"/>
        <v>0</v>
      </c>
      <c r="M348" s="4" t="b">
        <f t="shared" si="31"/>
        <v>0</v>
      </c>
      <c r="N348" s="4" t="b">
        <f t="shared" si="32"/>
        <v>0</v>
      </c>
      <c r="O348" s="4" t="b">
        <f t="shared" si="33"/>
        <v>0</v>
      </c>
      <c r="P348" s="4" t="b">
        <f t="shared" si="34"/>
        <v>0</v>
      </c>
      <c r="Q348" s="4" t="b">
        <f t="shared" si="35"/>
        <v>0</v>
      </c>
    </row>
    <row r="349" spans="2:17" ht="15" x14ac:dyDescent="0.2">
      <c r="B349">
        <v>0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0</v>
      </c>
      <c r="L349" s="4" t="b">
        <f t="shared" si="30"/>
        <v>0</v>
      </c>
      <c r="M349" s="4" t="b">
        <f t="shared" si="31"/>
        <v>0</v>
      </c>
      <c r="N349" s="4" t="b">
        <f t="shared" si="32"/>
        <v>0</v>
      </c>
      <c r="O349" s="4" t="b">
        <f t="shared" si="33"/>
        <v>0</v>
      </c>
      <c r="P349" s="4" t="b">
        <f t="shared" si="34"/>
        <v>0</v>
      </c>
      <c r="Q349" s="4" t="b">
        <f t="shared" si="35"/>
        <v>0</v>
      </c>
    </row>
    <row r="350" spans="2:17" ht="15" x14ac:dyDescent="0.2">
      <c r="B350">
        <v>0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1</v>
      </c>
      <c r="L350" s="4" t="b">
        <f t="shared" si="30"/>
        <v>0</v>
      </c>
      <c r="M350" s="4" t="b">
        <f t="shared" si="31"/>
        <v>0</v>
      </c>
      <c r="N350" s="4" t="b">
        <f t="shared" si="32"/>
        <v>0</v>
      </c>
      <c r="O350" s="4" t="b">
        <f t="shared" si="33"/>
        <v>0</v>
      </c>
      <c r="P350" s="4" t="b">
        <f t="shared" si="34"/>
        <v>0</v>
      </c>
      <c r="Q350" s="4" t="b">
        <f t="shared" si="35"/>
        <v>0</v>
      </c>
    </row>
    <row r="351" spans="2:17" ht="15" x14ac:dyDescent="0.2">
      <c r="B351">
        <v>0</v>
      </c>
      <c r="C351">
        <v>1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1</v>
      </c>
      <c r="J351">
        <v>0</v>
      </c>
      <c r="L351" s="4" t="b">
        <f t="shared" si="30"/>
        <v>0</v>
      </c>
      <c r="M351" s="4" t="b">
        <f t="shared" si="31"/>
        <v>0</v>
      </c>
      <c r="N351" s="4" t="b">
        <f t="shared" si="32"/>
        <v>0</v>
      </c>
      <c r="O351" s="4" t="b">
        <f t="shared" si="33"/>
        <v>0</v>
      </c>
      <c r="P351" s="4" t="b">
        <f t="shared" si="34"/>
        <v>0</v>
      </c>
      <c r="Q351" s="4" t="b">
        <f t="shared" si="35"/>
        <v>0</v>
      </c>
    </row>
    <row r="352" spans="2:17" ht="15" x14ac:dyDescent="0.2">
      <c r="B352">
        <v>0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1</v>
      </c>
      <c r="L352" s="4" t="b">
        <f t="shared" si="30"/>
        <v>0</v>
      </c>
      <c r="M352" s="4" t="b">
        <f t="shared" si="31"/>
        <v>0</v>
      </c>
      <c r="N352" s="4" t="b">
        <f t="shared" si="32"/>
        <v>0</v>
      </c>
      <c r="O352" s="4" t="b">
        <f t="shared" si="33"/>
        <v>0</v>
      </c>
      <c r="P352" s="4" t="b">
        <f t="shared" si="34"/>
        <v>0</v>
      </c>
      <c r="Q352" s="4" t="b">
        <f t="shared" si="35"/>
        <v>0</v>
      </c>
    </row>
    <row r="353" spans="2:17" ht="15" x14ac:dyDescent="0.2">
      <c r="B353">
        <v>0</v>
      </c>
      <c r="C353">
        <v>1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L353" s="4" t="b">
        <f t="shared" si="30"/>
        <v>0</v>
      </c>
      <c r="M353" s="4" t="b">
        <f t="shared" si="31"/>
        <v>0</v>
      </c>
      <c r="N353" s="4" t="b">
        <f t="shared" si="32"/>
        <v>0</v>
      </c>
      <c r="O353" s="4" t="b">
        <f t="shared" si="33"/>
        <v>0</v>
      </c>
      <c r="P353" s="4" t="b">
        <f t="shared" si="34"/>
        <v>0</v>
      </c>
      <c r="Q353" s="4" t="b">
        <f t="shared" si="35"/>
        <v>0</v>
      </c>
    </row>
    <row r="354" spans="2:17" ht="15" x14ac:dyDescent="0.2">
      <c r="B354">
        <v>0</v>
      </c>
      <c r="C354">
        <v>1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L354" s="4" t="b">
        <f t="shared" si="30"/>
        <v>0</v>
      </c>
      <c r="M354" s="4" t="b">
        <f t="shared" si="31"/>
        <v>0</v>
      </c>
      <c r="N354" s="4" t="b">
        <f t="shared" si="32"/>
        <v>1</v>
      </c>
      <c r="O354" s="4" t="b">
        <f t="shared" si="33"/>
        <v>0</v>
      </c>
      <c r="P354" s="4" t="b">
        <f t="shared" si="34"/>
        <v>1</v>
      </c>
      <c r="Q354" s="4" t="b">
        <f t="shared" si="35"/>
        <v>0</v>
      </c>
    </row>
    <row r="355" spans="2:17" ht="15" x14ac:dyDescent="0.2">
      <c r="B355">
        <v>0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0</v>
      </c>
      <c r="L355" s="4" t="b">
        <f t="shared" si="30"/>
        <v>0</v>
      </c>
      <c r="M355" s="4" t="b">
        <f t="shared" si="31"/>
        <v>0</v>
      </c>
      <c r="N355" s="4" t="b">
        <f t="shared" si="32"/>
        <v>0</v>
      </c>
      <c r="O355" s="4" t="b">
        <f t="shared" si="33"/>
        <v>0</v>
      </c>
      <c r="P355" s="4" t="b">
        <f t="shared" si="34"/>
        <v>1</v>
      </c>
      <c r="Q355" s="4" t="b">
        <f t="shared" si="35"/>
        <v>0</v>
      </c>
    </row>
    <row r="356" spans="2:17" ht="15" x14ac:dyDescent="0.2">
      <c r="B356">
        <v>0</v>
      </c>
      <c r="C356">
        <v>1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0</v>
      </c>
      <c r="J356">
        <v>1</v>
      </c>
      <c r="L356" s="4" t="b">
        <f t="shared" si="30"/>
        <v>0</v>
      </c>
      <c r="M356" s="4" t="b">
        <f t="shared" si="31"/>
        <v>0</v>
      </c>
      <c r="N356" s="4" t="b">
        <f t="shared" si="32"/>
        <v>0</v>
      </c>
      <c r="O356" s="4" t="b">
        <f t="shared" si="33"/>
        <v>0</v>
      </c>
      <c r="P356" s="4" t="b">
        <f t="shared" si="34"/>
        <v>0</v>
      </c>
      <c r="Q356" s="4" t="b">
        <f t="shared" si="35"/>
        <v>0</v>
      </c>
    </row>
    <row r="357" spans="2:17" ht="15" x14ac:dyDescent="0.2">
      <c r="B357">
        <v>0</v>
      </c>
      <c r="C357">
        <v>1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0</v>
      </c>
      <c r="J357">
        <v>0</v>
      </c>
      <c r="L357" s="4" t="b">
        <f t="shared" si="30"/>
        <v>0</v>
      </c>
      <c r="M357" s="4" t="b">
        <f t="shared" si="31"/>
        <v>0</v>
      </c>
      <c r="N357" s="4" t="b">
        <f t="shared" si="32"/>
        <v>0</v>
      </c>
      <c r="O357" s="4" t="b">
        <f t="shared" si="33"/>
        <v>0</v>
      </c>
      <c r="P357" s="4" t="b">
        <f t="shared" si="34"/>
        <v>0</v>
      </c>
      <c r="Q357" s="4" t="b">
        <f t="shared" si="35"/>
        <v>0</v>
      </c>
    </row>
    <row r="358" spans="2:17" ht="15" x14ac:dyDescent="0.2">
      <c r="B358">
        <v>0</v>
      </c>
      <c r="C358">
        <v>1</v>
      </c>
      <c r="D358">
        <v>0</v>
      </c>
      <c r="E358">
        <v>0</v>
      </c>
      <c r="F358">
        <v>1</v>
      </c>
      <c r="G358">
        <v>1</v>
      </c>
      <c r="H358">
        <v>0</v>
      </c>
      <c r="I358">
        <v>1</v>
      </c>
      <c r="J358">
        <v>1</v>
      </c>
      <c r="L358" s="4" t="b">
        <f t="shared" si="30"/>
        <v>0</v>
      </c>
      <c r="M358" s="4" t="b">
        <f t="shared" si="31"/>
        <v>0</v>
      </c>
      <c r="N358" s="4" t="b">
        <f t="shared" si="32"/>
        <v>0</v>
      </c>
      <c r="O358" s="4" t="b">
        <f t="shared" si="33"/>
        <v>0</v>
      </c>
      <c r="P358" s="4" t="b">
        <f t="shared" si="34"/>
        <v>1</v>
      </c>
      <c r="Q358" s="4" t="b">
        <f t="shared" si="35"/>
        <v>0</v>
      </c>
    </row>
    <row r="359" spans="2:17" ht="15" x14ac:dyDescent="0.2">
      <c r="B359">
        <v>0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1</v>
      </c>
      <c r="J359">
        <v>0</v>
      </c>
      <c r="L359" s="4" t="b">
        <f t="shared" si="30"/>
        <v>0</v>
      </c>
      <c r="M359" s="4" t="b">
        <f t="shared" si="31"/>
        <v>0</v>
      </c>
      <c r="N359" s="4" t="b">
        <f t="shared" si="32"/>
        <v>0</v>
      </c>
      <c r="O359" s="4" t="b">
        <f t="shared" si="33"/>
        <v>0</v>
      </c>
      <c r="P359" s="4" t="b">
        <f t="shared" si="34"/>
        <v>1</v>
      </c>
      <c r="Q359" s="4" t="b">
        <f t="shared" si="35"/>
        <v>0</v>
      </c>
    </row>
    <row r="360" spans="2:17" ht="15" x14ac:dyDescent="0.2">
      <c r="B360">
        <v>0</v>
      </c>
      <c r="C360">
        <v>1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1</v>
      </c>
      <c r="L360" s="4" t="b">
        <f t="shared" si="30"/>
        <v>0</v>
      </c>
      <c r="M360" s="4" t="b">
        <f t="shared" si="31"/>
        <v>0</v>
      </c>
      <c r="N360" s="4" t="b">
        <f t="shared" si="32"/>
        <v>0</v>
      </c>
      <c r="O360" s="4" t="b">
        <f t="shared" si="33"/>
        <v>0</v>
      </c>
      <c r="P360" s="4" t="b">
        <f t="shared" si="34"/>
        <v>0</v>
      </c>
      <c r="Q360" s="4" t="b">
        <f t="shared" si="35"/>
        <v>0</v>
      </c>
    </row>
    <row r="361" spans="2:17" ht="15" x14ac:dyDescent="0.2">
      <c r="B361">
        <v>0</v>
      </c>
      <c r="C361">
        <v>1</v>
      </c>
      <c r="D361">
        <v>0</v>
      </c>
      <c r="E361">
        <v>0</v>
      </c>
      <c r="F361">
        <v>1</v>
      </c>
      <c r="G361">
        <v>1</v>
      </c>
      <c r="H361">
        <v>0</v>
      </c>
      <c r="I361">
        <v>0</v>
      </c>
      <c r="J361">
        <v>0</v>
      </c>
      <c r="L361" s="4" t="b">
        <f t="shared" si="30"/>
        <v>0</v>
      </c>
      <c r="M361" s="4" t="b">
        <f t="shared" si="31"/>
        <v>0</v>
      </c>
      <c r="N361" s="4" t="b">
        <f t="shared" si="32"/>
        <v>0</v>
      </c>
      <c r="O361" s="4" t="b">
        <f t="shared" si="33"/>
        <v>0</v>
      </c>
      <c r="P361" s="4" t="b">
        <f t="shared" si="34"/>
        <v>0</v>
      </c>
      <c r="Q361" s="4" t="b">
        <f t="shared" si="35"/>
        <v>0</v>
      </c>
    </row>
    <row r="362" spans="2:17" ht="15" x14ac:dyDescent="0.2">
      <c r="B362">
        <v>0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1</v>
      </c>
      <c r="J362">
        <v>1</v>
      </c>
      <c r="L362" s="4" t="b">
        <f t="shared" si="30"/>
        <v>0</v>
      </c>
      <c r="M362" s="4" t="b">
        <f t="shared" si="31"/>
        <v>0</v>
      </c>
      <c r="N362" s="4" t="b">
        <f t="shared" si="32"/>
        <v>1</v>
      </c>
      <c r="O362" s="4" t="b">
        <f t="shared" si="33"/>
        <v>0</v>
      </c>
      <c r="P362" s="4" t="b">
        <f t="shared" si="34"/>
        <v>1</v>
      </c>
      <c r="Q362" s="4" t="b">
        <f t="shared" si="35"/>
        <v>0</v>
      </c>
    </row>
    <row r="363" spans="2:17" ht="15" x14ac:dyDescent="0.2">
      <c r="B363">
        <v>0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1</v>
      </c>
      <c r="I363">
        <v>1</v>
      </c>
      <c r="J363">
        <v>0</v>
      </c>
      <c r="L363" s="4" t="b">
        <f t="shared" si="30"/>
        <v>0</v>
      </c>
      <c r="M363" s="4" t="b">
        <f t="shared" si="31"/>
        <v>0</v>
      </c>
      <c r="N363" s="4" t="b">
        <f t="shared" si="32"/>
        <v>0</v>
      </c>
      <c r="O363" s="4" t="b">
        <f t="shared" si="33"/>
        <v>0</v>
      </c>
      <c r="P363" s="4" t="b">
        <f t="shared" si="34"/>
        <v>1</v>
      </c>
      <c r="Q363" s="4" t="b">
        <f t="shared" si="35"/>
        <v>0</v>
      </c>
    </row>
    <row r="364" spans="2:17" ht="15" x14ac:dyDescent="0.2">
      <c r="B364">
        <v>0</v>
      </c>
      <c r="C364">
        <v>1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</v>
      </c>
      <c r="J364">
        <v>1</v>
      </c>
      <c r="L364" s="4" t="b">
        <f t="shared" si="30"/>
        <v>0</v>
      </c>
      <c r="M364" s="4" t="b">
        <f t="shared" si="31"/>
        <v>0</v>
      </c>
      <c r="N364" s="4" t="b">
        <f t="shared" si="32"/>
        <v>0</v>
      </c>
      <c r="O364" s="4" t="b">
        <f t="shared" si="33"/>
        <v>0</v>
      </c>
      <c r="P364" s="4" t="b">
        <f t="shared" si="34"/>
        <v>0</v>
      </c>
      <c r="Q364" s="4" t="b">
        <f t="shared" si="35"/>
        <v>0</v>
      </c>
    </row>
    <row r="365" spans="2:17" ht="15" x14ac:dyDescent="0.2">
      <c r="B365">
        <v>0</v>
      </c>
      <c r="C365">
        <v>1</v>
      </c>
      <c r="D365">
        <v>0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0</v>
      </c>
      <c r="L365" s="4" t="b">
        <f t="shared" si="30"/>
        <v>0</v>
      </c>
      <c r="M365" s="4" t="b">
        <f t="shared" si="31"/>
        <v>0</v>
      </c>
      <c r="N365" s="4" t="b">
        <f t="shared" si="32"/>
        <v>0</v>
      </c>
      <c r="O365" s="4" t="b">
        <f t="shared" si="33"/>
        <v>0</v>
      </c>
      <c r="P365" s="4" t="b">
        <f t="shared" si="34"/>
        <v>0</v>
      </c>
      <c r="Q365" s="4" t="b">
        <f t="shared" si="35"/>
        <v>0</v>
      </c>
    </row>
    <row r="366" spans="2:17" ht="15" x14ac:dyDescent="0.2">
      <c r="B366">
        <v>0</v>
      </c>
      <c r="C366">
        <v>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1</v>
      </c>
      <c r="L366" s="4" t="b">
        <f t="shared" si="30"/>
        <v>0</v>
      </c>
      <c r="M366" s="4" t="b">
        <f t="shared" si="31"/>
        <v>0</v>
      </c>
      <c r="N366" s="4" t="b">
        <f t="shared" si="32"/>
        <v>0</v>
      </c>
      <c r="O366" s="4" t="b">
        <f t="shared" si="33"/>
        <v>0</v>
      </c>
      <c r="P366" s="4" t="b">
        <f t="shared" si="34"/>
        <v>1</v>
      </c>
      <c r="Q366" s="4" t="b">
        <f t="shared" si="35"/>
        <v>0</v>
      </c>
    </row>
    <row r="367" spans="2:17" ht="15" x14ac:dyDescent="0.2"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0</v>
      </c>
      <c r="L367" s="4" t="b">
        <f t="shared" si="30"/>
        <v>0</v>
      </c>
      <c r="M367" s="4" t="b">
        <f t="shared" si="31"/>
        <v>0</v>
      </c>
      <c r="N367" s="4" t="b">
        <f t="shared" si="32"/>
        <v>0</v>
      </c>
      <c r="O367" s="4" t="b">
        <f t="shared" si="33"/>
        <v>0</v>
      </c>
      <c r="P367" s="4" t="b">
        <f t="shared" si="34"/>
        <v>1</v>
      </c>
      <c r="Q367" s="4" t="b">
        <f t="shared" si="35"/>
        <v>0</v>
      </c>
    </row>
    <row r="368" spans="2:17" ht="15" x14ac:dyDescent="0.2">
      <c r="B368">
        <v>0</v>
      </c>
      <c r="C368">
        <v>1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1</v>
      </c>
      <c r="L368" s="4" t="b">
        <f t="shared" si="30"/>
        <v>0</v>
      </c>
      <c r="M368" s="4" t="b">
        <f t="shared" si="31"/>
        <v>0</v>
      </c>
      <c r="N368" s="4" t="b">
        <f t="shared" si="32"/>
        <v>0</v>
      </c>
      <c r="O368" s="4" t="b">
        <f t="shared" si="33"/>
        <v>0</v>
      </c>
      <c r="P368" s="4" t="b">
        <f t="shared" si="34"/>
        <v>0</v>
      </c>
      <c r="Q368" s="4" t="b">
        <f t="shared" si="35"/>
        <v>0</v>
      </c>
    </row>
    <row r="369" spans="2:17" ht="15" x14ac:dyDescent="0.2">
      <c r="B369">
        <v>0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L369" s="4" t="b">
        <f t="shared" si="30"/>
        <v>0</v>
      </c>
      <c r="M369" s="4" t="b">
        <f t="shared" si="31"/>
        <v>0</v>
      </c>
      <c r="N369" s="4" t="b">
        <f t="shared" si="32"/>
        <v>0</v>
      </c>
      <c r="O369" s="4" t="b">
        <f t="shared" si="33"/>
        <v>0</v>
      </c>
      <c r="P369" s="4" t="b">
        <f t="shared" si="34"/>
        <v>0</v>
      </c>
      <c r="Q369" s="4" t="b">
        <f t="shared" si="35"/>
        <v>0</v>
      </c>
    </row>
    <row r="370" spans="2:17" ht="15" x14ac:dyDescent="0.2">
      <c r="B370">
        <v>0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1</v>
      </c>
      <c r="J370">
        <v>1</v>
      </c>
      <c r="L370" s="4" t="b">
        <f t="shared" si="30"/>
        <v>0</v>
      </c>
      <c r="M370" s="4" t="b">
        <f t="shared" si="31"/>
        <v>0</v>
      </c>
      <c r="N370" s="4" t="b">
        <f t="shared" si="32"/>
        <v>1</v>
      </c>
      <c r="O370" s="4" t="b">
        <f t="shared" si="33"/>
        <v>0</v>
      </c>
      <c r="P370" s="4" t="b">
        <f t="shared" si="34"/>
        <v>0</v>
      </c>
      <c r="Q370" s="4" t="b">
        <f t="shared" si="35"/>
        <v>0</v>
      </c>
    </row>
    <row r="371" spans="2:17" ht="15" x14ac:dyDescent="0.2">
      <c r="B371">
        <v>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1</v>
      </c>
      <c r="I371">
        <v>1</v>
      </c>
      <c r="J371">
        <v>0</v>
      </c>
      <c r="L371" s="4" t="b">
        <f t="shared" si="30"/>
        <v>0</v>
      </c>
      <c r="M371" s="4" t="b">
        <f t="shared" si="31"/>
        <v>0</v>
      </c>
      <c r="N371" s="4" t="b">
        <f t="shared" si="32"/>
        <v>0</v>
      </c>
      <c r="O371" s="4" t="b">
        <f t="shared" si="33"/>
        <v>0</v>
      </c>
      <c r="P371" s="4" t="b">
        <f t="shared" si="34"/>
        <v>0</v>
      </c>
      <c r="Q371" s="4" t="b">
        <f t="shared" si="35"/>
        <v>0</v>
      </c>
    </row>
    <row r="372" spans="2:17" ht="15" x14ac:dyDescent="0.2">
      <c r="B372">
        <v>0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1</v>
      </c>
      <c r="L372" s="4" t="b">
        <f t="shared" si="30"/>
        <v>0</v>
      </c>
      <c r="M372" s="4" t="b">
        <f t="shared" si="31"/>
        <v>0</v>
      </c>
      <c r="N372" s="4" t="b">
        <f t="shared" si="32"/>
        <v>0</v>
      </c>
      <c r="O372" s="4" t="b">
        <f t="shared" si="33"/>
        <v>0</v>
      </c>
      <c r="P372" s="4" t="b">
        <f t="shared" si="34"/>
        <v>0</v>
      </c>
      <c r="Q372" s="4" t="b">
        <f t="shared" si="35"/>
        <v>0</v>
      </c>
    </row>
    <row r="373" spans="2:17" ht="15" x14ac:dyDescent="0.2">
      <c r="B373">
        <v>0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L373" s="4" t="b">
        <f t="shared" si="30"/>
        <v>0</v>
      </c>
      <c r="M373" s="4" t="b">
        <f t="shared" si="31"/>
        <v>0</v>
      </c>
      <c r="N373" s="4" t="b">
        <f t="shared" si="32"/>
        <v>0</v>
      </c>
      <c r="O373" s="4" t="b">
        <f t="shared" si="33"/>
        <v>0</v>
      </c>
      <c r="P373" s="4" t="b">
        <f t="shared" si="34"/>
        <v>0</v>
      </c>
      <c r="Q373" s="4" t="b">
        <f t="shared" si="35"/>
        <v>0</v>
      </c>
    </row>
    <row r="374" spans="2:17" ht="15" x14ac:dyDescent="0.2">
      <c r="B374">
        <v>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1</v>
      </c>
      <c r="L374" s="4" t="b">
        <f t="shared" si="30"/>
        <v>0</v>
      </c>
      <c r="M374" s="4" t="b">
        <f t="shared" si="31"/>
        <v>0</v>
      </c>
      <c r="N374" s="4" t="b">
        <f t="shared" si="32"/>
        <v>0</v>
      </c>
      <c r="O374" s="4" t="b">
        <f t="shared" si="33"/>
        <v>0</v>
      </c>
      <c r="P374" s="4" t="b">
        <f t="shared" si="34"/>
        <v>0</v>
      </c>
      <c r="Q374" s="4" t="b">
        <f t="shared" si="35"/>
        <v>0</v>
      </c>
    </row>
    <row r="375" spans="2:17" ht="15" x14ac:dyDescent="0.2">
      <c r="B375">
        <v>0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1</v>
      </c>
      <c r="J375">
        <v>0</v>
      </c>
      <c r="L375" s="4" t="b">
        <f t="shared" si="30"/>
        <v>0</v>
      </c>
      <c r="M375" s="4" t="b">
        <f t="shared" si="31"/>
        <v>0</v>
      </c>
      <c r="N375" s="4" t="b">
        <f t="shared" si="32"/>
        <v>0</v>
      </c>
      <c r="O375" s="4" t="b">
        <f t="shared" si="33"/>
        <v>0</v>
      </c>
      <c r="P375" s="4" t="b">
        <f t="shared" si="34"/>
        <v>0</v>
      </c>
      <c r="Q375" s="4" t="b">
        <f t="shared" si="35"/>
        <v>0</v>
      </c>
    </row>
    <row r="376" spans="2:17" ht="15" x14ac:dyDescent="0.2">
      <c r="B376">
        <v>0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L376" s="4" t="b">
        <f t="shared" si="30"/>
        <v>0</v>
      </c>
      <c r="M376" s="4" t="b">
        <f t="shared" si="31"/>
        <v>0</v>
      </c>
      <c r="N376" s="4" t="b">
        <f t="shared" si="32"/>
        <v>0</v>
      </c>
      <c r="O376" s="4" t="b">
        <f t="shared" si="33"/>
        <v>0</v>
      </c>
      <c r="P376" s="4" t="b">
        <f t="shared" si="34"/>
        <v>0</v>
      </c>
      <c r="Q376" s="4" t="b">
        <f t="shared" si="35"/>
        <v>0</v>
      </c>
    </row>
    <row r="377" spans="2:17" ht="15" x14ac:dyDescent="0.2">
      <c r="B377">
        <v>0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L377" s="4" t="b">
        <f t="shared" si="30"/>
        <v>0</v>
      </c>
      <c r="M377" s="4" t="b">
        <f t="shared" si="31"/>
        <v>0</v>
      </c>
      <c r="N377" s="4" t="b">
        <f t="shared" si="32"/>
        <v>0</v>
      </c>
      <c r="O377" s="4" t="b">
        <f t="shared" si="33"/>
        <v>0</v>
      </c>
      <c r="P377" s="4" t="b">
        <f t="shared" si="34"/>
        <v>0</v>
      </c>
      <c r="Q377" s="4" t="b">
        <f t="shared" si="35"/>
        <v>0</v>
      </c>
    </row>
    <row r="378" spans="2:17" ht="15" x14ac:dyDescent="0.2"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1</v>
      </c>
      <c r="L378" s="4" t="b">
        <f t="shared" si="30"/>
        <v>0</v>
      </c>
      <c r="M378" s="4" t="b">
        <f t="shared" si="31"/>
        <v>0</v>
      </c>
      <c r="N378" s="4" t="b">
        <f t="shared" si="32"/>
        <v>1</v>
      </c>
      <c r="O378" s="4" t="b">
        <f t="shared" si="33"/>
        <v>0</v>
      </c>
      <c r="P378" s="4" t="b">
        <f t="shared" si="34"/>
        <v>0</v>
      </c>
      <c r="Q378" s="4" t="b">
        <f t="shared" si="35"/>
        <v>0</v>
      </c>
    </row>
    <row r="379" spans="2:17" ht="15" x14ac:dyDescent="0.2"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1</v>
      </c>
      <c r="J379">
        <v>0</v>
      </c>
      <c r="L379" s="4" t="b">
        <f t="shared" si="30"/>
        <v>0</v>
      </c>
      <c r="M379" s="4" t="b">
        <f t="shared" si="31"/>
        <v>0</v>
      </c>
      <c r="N379" s="4" t="b">
        <f t="shared" si="32"/>
        <v>0</v>
      </c>
      <c r="O379" s="4" t="b">
        <f t="shared" si="33"/>
        <v>0</v>
      </c>
      <c r="P379" s="4" t="b">
        <f t="shared" si="34"/>
        <v>0</v>
      </c>
      <c r="Q379" s="4" t="b">
        <f t="shared" si="35"/>
        <v>0</v>
      </c>
    </row>
    <row r="380" spans="2:17" ht="15" x14ac:dyDescent="0.2"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1</v>
      </c>
      <c r="L380" s="4" t="b">
        <f t="shared" si="30"/>
        <v>0</v>
      </c>
      <c r="M380" s="4" t="b">
        <f t="shared" si="31"/>
        <v>0</v>
      </c>
      <c r="N380" s="4" t="b">
        <f t="shared" si="32"/>
        <v>0</v>
      </c>
      <c r="O380" s="4" t="b">
        <f t="shared" si="33"/>
        <v>0</v>
      </c>
      <c r="P380" s="4" t="b">
        <f t="shared" si="34"/>
        <v>0</v>
      </c>
      <c r="Q380" s="4" t="b">
        <f t="shared" si="35"/>
        <v>0</v>
      </c>
    </row>
    <row r="381" spans="2:17" ht="15" x14ac:dyDescent="0.2"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L381" s="4" t="b">
        <f t="shared" si="30"/>
        <v>0</v>
      </c>
      <c r="M381" s="4" t="b">
        <f t="shared" si="31"/>
        <v>0</v>
      </c>
      <c r="N381" s="4" t="b">
        <f t="shared" si="32"/>
        <v>0</v>
      </c>
      <c r="O381" s="4" t="b">
        <f t="shared" si="33"/>
        <v>0</v>
      </c>
      <c r="P381" s="4" t="b">
        <f t="shared" si="34"/>
        <v>0</v>
      </c>
      <c r="Q381" s="4" t="b">
        <f t="shared" si="35"/>
        <v>0</v>
      </c>
    </row>
    <row r="382" spans="2:17" ht="15" x14ac:dyDescent="0.2"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</v>
      </c>
      <c r="L382" s="4" t="b">
        <f t="shared" si="30"/>
        <v>0</v>
      </c>
      <c r="M382" s="4" t="b">
        <f t="shared" si="31"/>
        <v>0</v>
      </c>
      <c r="N382" s="4" t="b">
        <f t="shared" si="32"/>
        <v>0</v>
      </c>
      <c r="O382" s="4" t="b">
        <f t="shared" si="33"/>
        <v>0</v>
      </c>
      <c r="P382" s="4" t="b">
        <f t="shared" si="34"/>
        <v>0</v>
      </c>
      <c r="Q382" s="4" t="b">
        <f t="shared" si="35"/>
        <v>0</v>
      </c>
    </row>
    <row r="383" spans="2:17" ht="15" x14ac:dyDescent="0.2"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L383" s="4" t="b">
        <f t="shared" si="30"/>
        <v>0</v>
      </c>
      <c r="M383" s="4" t="b">
        <f t="shared" si="31"/>
        <v>0</v>
      </c>
      <c r="N383" s="4" t="b">
        <f t="shared" si="32"/>
        <v>0</v>
      </c>
      <c r="O383" s="4" t="b">
        <f t="shared" si="33"/>
        <v>0</v>
      </c>
      <c r="P383" s="4" t="b">
        <f t="shared" si="34"/>
        <v>0</v>
      </c>
      <c r="Q383" s="4" t="b">
        <f t="shared" si="35"/>
        <v>0</v>
      </c>
    </row>
    <row r="384" spans="2:17" ht="15" x14ac:dyDescent="0.2"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L384" s="4" t="b">
        <f t="shared" si="30"/>
        <v>0</v>
      </c>
      <c r="M384" s="4" t="b">
        <f t="shared" si="31"/>
        <v>0</v>
      </c>
      <c r="N384" s="4" t="b">
        <f t="shared" si="32"/>
        <v>0</v>
      </c>
      <c r="O384" s="4" t="b">
        <f t="shared" si="33"/>
        <v>0</v>
      </c>
      <c r="P384" s="4" t="b">
        <f t="shared" si="34"/>
        <v>0</v>
      </c>
      <c r="Q384" s="4" t="b">
        <f t="shared" si="35"/>
        <v>0</v>
      </c>
    </row>
    <row r="385" spans="2:17" ht="15" x14ac:dyDescent="0.2"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L385" s="4" t="b">
        <f t="shared" si="30"/>
        <v>0</v>
      </c>
      <c r="M385" s="4" t="b">
        <f t="shared" si="31"/>
        <v>0</v>
      </c>
      <c r="N385" s="4" t="b">
        <f t="shared" si="32"/>
        <v>0</v>
      </c>
      <c r="O385" s="4" t="b">
        <f t="shared" si="33"/>
        <v>0</v>
      </c>
      <c r="P385" s="4" t="b">
        <f t="shared" si="34"/>
        <v>0</v>
      </c>
      <c r="Q385" s="4" t="b">
        <f t="shared" si="35"/>
        <v>0</v>
      </c>
    </row>
    <row r="386" spans="2:17" ht="15" x14ac:dyDescent="0.2">
      <c r="B386">
        <v>0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L386" s="4" t="b">
        <f t="shared" ref="L386:L449" si="36">AND($B386&gt;=$V$2,$C386&gt;=$W$2,$D386&gt;=$X$2,$E386&gt;=$Y$2,$F386&gt;=$Z$2,$G386&gt;=$AA$2,$H386&gt;=$AB$2,$I386&gt;=$AC$2,$J386&gt;=$AD$2)</f>
        <v>0</v>
      </c>
      <c r="M386" s="4" t="b">
        <f t="shared" ref="M386:M449" si="37">AND($B386&gt;=$V$3,$C386&gt;=$W$3,$D386&gt;=$X$3,$E386&gt;=$Y$3,$F386&gt;=$Z$3,$G386&gt;=$AA$3,$H386&gt;=$AB$3,$I386&gt;=$AC$3,$J386&gt;=$AD$3)</f>
        <v>1</v>
      </c>
      <c r="N386" s="4" t="b">
        <f t="shared" ref="N386:N449" si="38">AND($B386&gt;=$V$4,$C386&gt;=$W$4,$D386&gt;=$X$4,$E386&gt;=$Y$4,$F386&gt;=$Z$4,$G386&gt;=$AA$4,$H386&gt;=$AB$4,$I386&gt;=$AC$4,$J386&gt;=$AD$4)</f>
        <v>1</v>
      </c>
      <c r="O386" s="4" t="b">
        <f t="shared" ref="O386:O449" si="39">AND($B386&gt;=$V$5,$C386&gt;=$W$5,$D386&gt;=$X$5,$E386&gt;=$Y$5,$F386&gt;=$Z$5,$G386&gt;=$AA$5,$H386&gt;=$AB$5,$I386&gt;=$AC$5,$J386&gt;=$AD$5)</f>
        <v>0</v>
      </c>
      <c r="P386" s="4" t="b">
        <f t="shared" ref="P386:P449" si="40">AND($B386&gt;=$V$6,$C386&gt;=$W$6,$D386&gt;=$X$6,$E386&gt;=$Y$6,$F386&gt;=$Z$6,$G386&gt;=$AA$6,$H386&gt;=$AB$6,$I386&gt;=$AC$6,$J386&gt;=$AD$6)</f>
        <v>0</v>
      </c>
      <c r="Q386" s="4" t="b">
        <f t="shared" ref="Q386:Q449" si="41">AND($B386&gt;=$V$7,$C386&gt;=$W$7,$D386&gt;=$X$7,$E386&gt;=$Y$7,$F386&gt;=$Z$7,$G386&gt;=$AA$7,$H386&gt;=$AB$7,$I386&gt;=$AC$7,$J386&gt;=$AD$7)</f>
        <v>1</v>
      </c>
    </row>
    <row r="387" spans="2:17" ht="15" x14ac:dyDescent="0.2">
      <c r="B387">
        <v>0</v>
      </c>
      <c r="C387">
        <v>0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0</v>
      </c>
      <c r="L387" s="4" t="b">
        <f t="shared" si="36"/>
        <v>0</v>
      </c>
      <c r="M387" s="4" t="b">
        <f t="shared" si="37"/>
        <v>1</v>
      </c>
      <c r="N387" s="4" t="b">
        <f t="shared" si="38"/>
        <v>0</v>
      </c>
      <c r="O387" s="4" t="b">
        <f t="shared" si="39"/>
        <v>0</v>
      </c>
      <c r="P387" s="4" t="b">
        <f t="shared" si="40"/>
        <v>0</v>
      </c>
      <c r="Q387" s="4" t="b">
        <f t="shared" si="41"/>
        <v>0</v>
      </c>
    </row>
    <row r="388" spans="2:17" ht="15" x14ac:dyDescent="0.2">
      <c r="B388">
        <v>0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0</v>
      </c>
      <c r="J388">
        <v>1</v>
      </c>
      <c r="L388" s="4" t="b">
        <f t="shared" si="36"/>
        <v>0</v>
      </c>
      <c r="M388" s="4" t="b">
        <f t="shared" si="37"/>
        <v>1</v>
      </c>
      <c r="N388" s="4" t="b">
        <f t="shared" si="38"/>
        <v>0</v>
      </c>
      <c r="O388" s="4" t="b">
        <f t="shared" si="39"/>
        <v>0</v>
      </c>
      <c r="P388" s="4" t="b">
        <f t="shared" si="40"/>
        <v>0</v>
      </c>
      <c r="Q388" s="4" t="b">
        <f t="shared" si="41"/>
        <v>1</v>
      </c>
    </row>
    <row r="389" spans="2:17" ht="15" x14ac:dyDescent="0.2">
      <c r="B389">
        <v>0</v>
      </c>
      <c r="C389">
        <v>0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0</v>
      </c>
      <c r="J389">
        <v>0</v>
      </c>
      <c r="L389" s="4" t="b">
        <f t="shared" si="36"/>
        <v>0</v>
      </c>
      <c r="M389" s="4" t="b">
        <f t="shared" si="37"/>
        <v>1</v>
      </c>
      <c r="N389" s="4" t="b">
        <f t="shared" si="38"/>
        <v>0</v>
      </c>
      <c r="O389" s="4" t="b">
        <f t="shared" si="39"/>
        <v>0</v>
      </c>
      <c r="P389" s="4" t="b">
        <f t="shared" si="40"/>
        <v>0</v>
      </c>
      <c r="Q389" s="4" t="b">
        <f t="shared" si="41"/>
        <v>0</v>
      </c>
    </row>
    <row r="390" spans="2:17" ht="15" x14ac:dyDescent="0.2">
      <c r="B390">
        <v>0</v>
      </c>
      <c r="C390">
        <v>0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1</v>
      </c>
      <c r="L390" s="4" t="b">
        <f t="shared" si="36"/>
        <v>0</v>
      </c>
      <c r="M390" s="4" t="b">
        <f t="shared" si="37"/>
        <v>1</v>
      </c>
      <c r="N390" s="4" t="b">
        <f t="shared" si="38"/>
        <v>0</v>
      </c>
      <c r="O390" s="4" t="b">
        <f t="shared" si="39"/>
        <v>0</v>
      </c>
      <c r="P390" s="4" t="b">
        <f t="shared" si="40"/>
        <v>0</v>
      </c>
      <c r="Q390" s="4" t="b">
        <f t="shared" si="41"/>
        <v>1</v>
      </c>
    </row>
    <row r="391" spans="2:17" ht="15" x14ac:dyDescent="0.2">
      <c r="B391">
        <v>0</v>
      </c>
      <c r="C391">
        <v>0</v>
      </c>
      <c r="D391">
        <v>1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0</v>
      </c>
      <c r="L391" s="4" t="b">
        <f t="shared" si="36"/>
        <v>0</v>
      </c>
      <c r="M391" s="4" t="b">
        <f t="shared" si="37"/>
        <v>1</v>
      </c>
      <c r="N391" s="4" t="b">
        <f t="shared" si="38"/>
        <v>0</v>
      </c>
      <c r="O391" s="4" t="b">
        <f t="shared" si="39"/>
        <v>0</v>
      </c>
      <c r="P391" s="4" t="b">
        <f t="shared" si="40"/>
        <v>0</v>
      </c>
      <c r="Q391" s="4" t="b">
        <f t="shared" si="41"/>
        <v>0</v>
      </c>
    </row>
    <row r="392" spans="2:17" ht="15" x14ac:dyDescent="0.2">
      <c r="B392">
        <v>0</v>
      </c>
      <c r="C392">
        <v>0</v>
      </c>
      <c r="D392">
        <v>1</v>
      </c>
      <c r="E392">
        <v>1</v>
      </c>
      <c r="F392">
        <v>1</v>
      </c>
      <c r="G392">
        <v>1</v>
      </c>
      <c r="H392">
        <v>0</v>
      </c>
      <c r="I392">
        <v>0</v>
      </c>
      <c r="J392">
        <v>1</v>
      </c>
      <c r="L392" s="4" t="b">
        <f t="shared" si="36"/>
        <v>0</v>
      </c>
      <c r="M392" s="4" t="b">
        <f t="shared" si="37"/>
        <v>1</v>
      </c>
      <c r="N392" s="4" t="b">
        <f t="shared" si="38"/>
        <v>0</v>
      </c>
      <c r="O392" s="4" t="b">
        <f t="shared" si="39"/>
        <v>0</v>
      </c>
      <c r="P392" s="4" t="b">
        <f t="shared" si="40"/>
        <v>0</v>
      </c>
      <c r="Q392" s="4" t="b">
        <f t="shared" si="41"/>
        <v>1</v>
      </c>
    </row>
    <row r="393" spans="2:17" ht="15" x14ac:dyDescent="0.2">
      <c r="B393">
        <v>0</v>
      </c>
      <c r="C393">
        <v>0</v>
      </c>
      <c r="D393">
        <v>1</v>
      </c>
      <c r="E393">
        <v>1</v>
      </c>
      <c r="F393">
        <v>1</v>
      </c>
      <c r="G393">
        <v>1</v>
      </c>
      <c r="H393">
        <v>0</v>
      </c>
      <c r="I393">
        <v>0</v>
      </c>
      <c r="J393">
        <v>0</v>
      </c>
      <c r="L393" s="4" t="b">
        <f t="shared" si="36"/>
        <v>0</v>
      </c>
      <c r="M393" s="4" t="b">
        <f t="shared" si="37"/>
        <v>1</v>
      </c>
      <c r="N393" s="4" t="b">
        <f t="shared" si="38"/>
        <v>0</v>
      </c>
      <c r="O393" s="4" t="b">
        <f t="shared" si="39"/>
        <v>0</v>
      </c>
      <c r="P393" s="4" t="b">
        <f t="shared" si="40"/>
        <v>0</v>
      </c>
      <c r="Q393" s="4" t="b">
        <f t="shared" si="41"/>
        <v>0</v>
      </c>
    </row>
    <row r="394" spans="2:17" ht="15" x14ac:dyDescent="0.2">
      <c r="B394">
        <v>0</v>
      </c>
      <c r="C394">
        <v>0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L394" s="4" t="b">
        <f t="shared" si="36"/>
        <v>0</v>
      </c>
      <c r="M394" s="4" t="b">
        <f t="shared" si="37"/>
        <v>0</v>
      </c>
      <c r="N394" s="4" t="b">
        <f t="shared" si="38"/>
        <v>1</v>
      </c>
      <c r="O394" s="4" t="b">
        <f t="shared" si="39"/>
        <v>0</v>
      </c>
      <c r="P394" s="4" t="b">
        <f t="shared" si="40"/>
        <v>0</v>
      </c>
      <c r="Q394" s="4" t="b">
        <f t="shared" si="41"/>
        <v>0</v>
      </c>
    </row>
    <row r="395" spans="2:17" ht="15" x14ac:dyDescent="0.2">
      <c r="B395">
        <v>0</v>
      </c>
      <c r="C395">
        <v>0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1</v>
      </c>
      <c r="J395">
        <v>0</v>
      </c>
      <c r="L395" s="4" t="b">
        <f t="shared" si="36"/>
        <v>0</v>
      </c>
      <c r="M395" s="4" t="b">
        <f t="shared" si="37"/>
        <v>0</v>
      </c>
      <c r="N395" s="4" t="b">
        <f t="shared" si="38"/>
        <v>0</v>
      </c>
      <c r="O395" s="4" t="b">
        <f t="shared" si="39"/>
        <v>0</v>
      </c>
      <c r="P395" s="4" t="b">
        <f t="shared" si="40"/>
        <v>0</v>
      </c>
      <c r="Q395" s="4" t="b">
        <f t="shared" si="41"/>
        <v>0</v>
      </c>
    </row>
    <row r="396" spans="2:17" ht="15" x14ac:dyDescent="0.2">
      <c r="B396">
        <v>0</v>
      </c>
      <c r="C396">
        <v>0</v>
      </c>
      <c r="D396">
        <v>1</v>
      </c>
      <c r="E396">
        <v>1</v>
      </c>
      <c r="F396">
        <v>1</v>
      </c>
      <c r="G396">
        <v>0</v>
      </c>
      <c r="H396">
        <v>1</v>
      </c>
      <c r="I396">
        <v>0</v>
      </c>
      <c r="J396">
        <v>1</v>
      </c>
      <c r="L396" s="4" t="b">
        <f t="shared" si="36"/>
        <v>0</v>
      </c>
      <c r="M396" s="4" t="b">
        <f t="shared" si="37"/>
        <v>0</v>
      </c>
      <c r="N396" s="4" t="b">
        <f t="shared" si="38"/>
        <v>0</v>
      </c>
      <c r="O396" s="4" t="b">
        <f t="shared" si="39"/>
        <v>0</v>
      </c>
      <c r="P396" s="4" t="b">
        <f t="shared" si="40"/>
        <v>0</v>
      </c>
      <c r="Q396" s="4" t="b">
        <f t="shared" si="41"/>
        <v>0</v>
      </c>
    </row>
    <row r="397" spans="2:17" ht="15" x14ac:dyDescent="0.2">
      <c r="B397">
        <v>0</v>
      </c>
      <c r="C397">
        <v>0</v>
      </c>
      <c r="D397">
        <v>1</v>
      </c>
      <c r="E397">
        <v>1</v>
      </c>
      <c r="F397">
        <v>1</v>
      </c>
      <c r="G397">
        <v>0</v>
      </c>
      <c r="H397">
        <v>1</v>
      </c>
      <c r="I397">
        <v>0</v>
      </c>
      <c r="J397">
        <v>0</v>
      </c>
      <c r="L397" s="4" t="b">
        <f t="shared" si="36"/>
        <v>0</v>
      </c>
      <c r="M397" s="4" t="b">
        <f t="shared" si="37"/>
        <v>0</v>
      </c>
      <c r="N397" s="4" t="b">
        <f t="shared" si="38"/>
        <v>0</v>
      </c>
      <c r="O397" s="4" t="b">
        <f t="shared" si="39"/>
        <v>0</v>
      </c>
      <c r="P397" s="4" t="b">
        <f t="shared" si="40"/>
        <v>0</v>
      </c>
      <c r="Q397" s="4" t="b">
        <f t="shared" si="41"/>
        <v>0</v>
      </c>
    </row>
    <row r="398" spans="2:17" ht="15" x14ac:dyDescent="0.2">
      <c r="B398">
        <v>0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1</v>
      </c>
      <c r="J398">
        <v>1</v>
      </c>
      <c r="L398" s="4" t="b">
        <f t="shared" si="36"/>
        <v>0</v>
      </c>
      <c r="M398" s="4" t="b">
        <f t="shared" si="37"/>
        <v>0</v>
      </c>
      <c r="N398" s="4" t="b">
        <f t="shared" si="38"/>
        <v>0</v>
      </c>
      <c r="O398" s="4" t="b">
        <f t="shared" si="39"/>
        <v>0</v>
      </c>
      <c r="P398" s="4" t="b">
        <f t="shared" si="40"/>
        <v>0</v>
      </c>
      <c r="Q398" s="4" t="b">
        <f t="shared" si="41"/>
        <v>0</v>
      </c>
    </row>
    <row r="399" spans="2:17" ht="15" x14ac:dyDescent="0.2">
      <c r="B399">
        <v>0</v>
      </c>
      <c r="C399">
        <v>0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L399" s="4" t="b">
        <f t="shared" si="36"/>
        <v>0</v>
      </c>
      <c r="M399" s="4" t="b">
        <f t="shared" si="37"/>
        <v>0</v>
      </c>
      <c r="N399" s="4" t="b">
        <f t="shared" si="38"/>
        <v>0</v>
      </c>
      <c r="O399" s="4" t="b">
        <f t="shared" si="39"/>
        <v>0</v>
      </c>
      <c r="P399" s="4" t="b">
        <f t="shared" si="40"/>
        <v>0</v>
      </c>
      <c r="Q399" s="4" t="b">
        <f t="shared" si="41"/>
        <v>0</v>
      </c>
    </row>
    <row r="400" spans="2:17" ht="15" x14ac:dyDescent="0.2">
      <c r="B400">
        <v>0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0</v>
      </c>
      <c r="I400">
        <v>0</v>
      </c>
      <c r="J400">
        <v>1</v>
      </c>
      <c r="L400" s="4" t="b">
        <f t="shared" si="36"/>
        <v>0</v>
      </c>
      <c r="M400" s="4" t="b">
        <f t="shared" si="37"/>
        <v>0</v>
      </c>
      <c r="N400" s="4" t="b">
        <f t="shared" si="38"/>
        <v>0</v>
      </c>
      <c r="O400" s="4" t="b">
        <f t="shared" si="39"/>
        <v>0</v>
      </c>
      <c r="P400" s="4" t="b">
        <f t="shared" si="40"/>
        <v>0</v>
      </c>
      <c r="Q400" s="4" t="b">
        <f t="shared" si="41"/>
        <v>0</v>
      </c>
    </row>
    <row r="401" spans="2:17" ht="15" x14ac:dyDescent="0.2">
      <c r="B401">
        <v>0</v>
      </c>
      <c r="C401">
        <v>0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0</v>
      </c>
      <c r="J401">
        <v>0</v>
      </c>
      <c r="L401" s="4" t="b">
        <f t="shared" si="36"/>
        <v>0</v>
      </c>
      <c r="M401" s="4" t="b">
        <f t="shared" si="37"/>
        <v>0</v>
      </c>
      <c r="N401" s="4" t="b">
        <f t="shared" si="38"/>
        <v>0</v>
      </c>
      <c r="O401" s="4" t="b">
        <f t="shared" si="39"/>
        <v>0</v>
      </c>
      <c r="P401" s="4" t="b">
        <f t="shared" si="40"/>
        <v>0</v>
      </c>
      <c r="Q401" s="4" t="b">
        <f t="shared" si="41"/>
        <v>0</v>
      </c>
    </row>
    <row r="402" spans="2:17" ht="15" x14ac:dyDescent="0.2">
      <c r="B402">
        <v>0</v>
      </c>
      <c r="C402">
        <v>0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L402" s="4" t="b">
        <f t="shared" si="36"/>
        <v>0</v>
      </c>
      <c r="M402" s="4" t="b">
        <f t="shared" si="37"/>
        <v>0</v>
      </c>
      <c r="N402" s="4" t="b">
        <f t="shared" si="38"/>
        <v>1</v>
      </c>
      <c r="O402" s="4" t="b">
        <f t="shared" si="39"/>
        <v>0</v>
      </c>
      <c r="P402" s="4" t="b">
        <f t="shared" si="40"/>
        <v>0</v>
      </c>
      <c r="Q402" s="4" t="b">
        <f t="shared" si="41"/>
        <v>1</v>
      </c>
    </row>
    <row r="403" spans="2:17" ht="15" x14ac:dyDescent="0.2">
      <c r="B403">
        <v>0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0</v>
      </c>
      <c r="L403" s="4" t="b">
        <f t="shared" si="36"/>
        <v>0</v>
      </c>
      <c r="M403" s="4" t="b">
        <f t="shared" si="37"/>
        <v>0</v>
      </c>
      <c r="N403" s="4" t="b">
        <f t="shared" si="38"/>
        <v>0</v>
      </c>
      <c r="O403" s="4" t="b">
        <f t="shared" si="39"/>
        <v>0</v>
      </c>
      <c r="P403" s="4" t="b">
        <f t="shared" si="40"/>
        <v>0</v>
      </c>
      <c r="Q403" s="4" t="b">
        <f t="shared" si="41"/>
        <v>0</v>
      </c>
    </row>
    <row r="404" spans="2:17" ht="15" x14ac:dyDescent="0.2">
      <c r="B404">
        <v>0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1</v>
      </c>
      <c r="I404">
        <v>0</v>
      </c>
      <c r="J404">
        <v>1</v>
      </c>
      <c r="L404" s="4" t="b">
        <f t="shared" si="36"/>
        <v>0</v>
      </c>
      <c r="M404" s="4" t="b">
        <f t="shared" si="37"/>
        <v>0</v>
      </c>
      <c r="N404" s="4" t="b">
        <f t="shared" si="38"/>
        <v>0</v>
      </c>
      <c r="O404" s="4" t="b">
        <f t="shared" si="39"/>
        <v>0</v>
      </c>
      <c r="P404" s="4" t="b">
        <f t="shared" si="40"/>
        <v>0</v>
      </c>
      <c r="Q404" s="4" t="b">
        <f t="shared" si="41"/>
        <v>1</v>
      </c>
    </row>
    <row r="405" spans="2:17" ht="15" x14ac:dyDescent="0.2">
      <c r="B405">
        <v>0</v>
      </c>
      <c r="C405">
        <v>0</v>
      </c>
      <c r="D405">
        <v>1</v>
      </c>
      <c r="E405">
        <v>1</v>
      </c>
      <c r="F405">
        <v>0</v>
      </c>
      <c r="G405">
        <v>1</v>
      </c>
      <c r="H405">
        <v>1</v>
      </c>
      <c r="I405">
        <v>0</v>
      </c>
      <c r="J405">
        <v>0</v>
      </c>
      <c r="L405" s="4" t="b">
        <f t="shared" si="36"/>
        <v>0</v>
      </c>
      <c r="M405" s="4" t="b">
        <f t="shared" si="37"/>
        <v>0</v>
      </c>
      <c r="N405" s="4" t="b">
        <f t="shared" si="38"/>
        <v>0</v>
      </c>
      <c r="O405" s="4" t="b">
        <f t="shared" si="39"/>
        <v>0</v>
      </c>
      <c r="P405" s="4" t="b">
        <f t="shared" si="40"/>
        <v>0</v>
      </c>
      <c r="Q405" s="4" t="b">
        <f t="shared" si="41"/>
        <v>0</v>
      </c>
    </row>
    <row r="406" spans="2:17" ht="15" x14ac:dyDescent="0.2">
      <c r="B406">
        <v>0</v>
      </c>
      <c r="C406">
        <v>0</v>
      </c>
      <c r="D406">
        <v>1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1</v>
      </c>
      <c r="L406" s="4" t="b">
        <f t="shared" si="36"/>
        <v>0</v>
      </c>
      <c r="M406" s="4" t="b">
        <f t="shared" si="37"/>
        <v>0</v>
      </c>
      <c r="N406" s="4" t="b">
        <f t="shared" si="38"/>
        <v>0</v>
      </c>
      <c r="O406" s="4" t="b">
        <f t="shared" si="39"/>
        <v>0</v>
      </c>
      <c r="P406" s="4" t="b">
        <f t="shared" si="40"/>
        <v>0</v>
      </c>
      <c r="Q406" s="4" t="b">
        <f t="shared" si="41"/>
        <v>1</v>
      </c>
    </row>
    <row r="407" spans="2:17" ht="15" x14ac:dyDescent="0.2">
      <c r="B407">
        <v>0</v>
      </c>
      <c r="C407">
        <v>0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1</v>
      </c>
      <c r="J407">
        <v>0</v>
      </c>
      <c r="L407" s="4" t="b">
        <f t="shared" si="36"/>
        <v>0</v>
      </c>
      <c r="M407" s="4" t="b">
        <f t="shared" si="37"/>
        <v>0</v>
      </c>
      <c r="N407" s="4" t="b">
        <f t="shared" si="38"/>
        <v>0</v>
      </c>
      <c r="O407" s="4" t="b">
        <f t="shared" si="39"/>
        <v>0</v>
      </c>
      <c r="P407" s="4" t="b">
        <f t="shared" si="40"/>
        <v>0</v>
      </c>
      <c r="Q407" s="4" t="b">
        <f t="shared" si="41"/>
        <v>0</v>
      </c>
    </row>
    <row r="408" spans="2:17" ht="15" x14ac:dyDescent="0.2">
      <c r="B408">
        <v>0</v>
      </c>
      <c r="C408">
        <v>0</v>
      </c>
      <c r="D408">
        <v>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1</v>
      </c>
      <c r="L408" s="4" t="b">
        <f t="shared" si="36"/>
        <v>0</v>
      </c>
      <c r="M408" s="4" t="b">
        <f t="shared" si="37"/>
        <v>0</v>
      </c>
      <c r="N408" s="4" t="b">
        <f t="shared" si="38"/>
        <v>0</v>
      </c>
      <c r="O408" s="4" t="b">
        <f t="shared" si="39"/>
        <v>0</v>
      </c>
      <c r="P408" s="4" t="b">
        <f t="shared" si="40"/>
        <v>0</v>
      </c>
      <c r="Q408" s="4" t="b">
        <f t="shared" si="41"/>
        <v>1</v>
      </c>
    </row>
    <row r="409" spans="2:17" ht="15" x14ac:dyDescent="0.2">
      <c r="B409">
        <v>0</v>
      </c>
      <c r="C409">
        <v>0</v>
      </c>
      <c r="D409">
        <v>1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L409" s="4" t="b">
        <f t="shared" si="36"/>
        <v>0</v>
      </c>
      <c r="M409" s="4" t="b">
        <f t="shared" si="37"/>
        <v>0</v>
      </c>
      <c r="N409" s="4" t="b">
        <f t="shared" si="38"/>
        <v>0</v>
      </c>
      <c r="O409" s="4" t="b">
        <f t="shared" si="39"/>
        <v>0</v>
      </c>
      <c r="P409" s="4" t="b">
        <f t="shared" si="40"/>
        <v>0</v>
      </c>
      <c r="Q409" s="4" t="b">
        <f t="shared" si="41"/>
        <v>0</v>
      </c>
    </row>
    <row r="410" spans="2:17" ht="15" x14ac:dyDescent="0.2">
      <c r="B410">
        <v>0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1</v>
      </c>
      <c r="I410">
        <v>1</v>
      </c>
      <c r="J410">
        <v>1</v>
      </c>
      <c r="L410" s="4" t="b">
        <f t="shared" si="36"/>
        <v>0</v>
      </c>
      <c r="M410" s="4" t="b">
        <f t="shared" si="37"/>
        <v>0</v>
      </c>
      <c r="N410" s="4" t="b">
        <f t="shared" si="38"/>
        <v>1</v>
      </c>
      <c r="O410" s="4" t="b">
        <f t="shared" si="39"/>
        <v>0</v>
      </c>
      <c r="P410" s="4" t="b">
        <f t="shared" si="40"/>
        <v>0</v>
      </c>
      <c r="Q410" s="4" t="b">
        <f t="shared" si="41"/>
        <v>0</v>
      </c>
    </row>
    <row r="411" spans="2:17" ht="15" x14ac:dyDescent="0.2">
      <c r="B411">
        <v>0</v>
      </c>
      <c r="C411">
        <v>0</v>
      </c>
      <c r="D411">
        <v>1</v>
      </c>
      <c r="E411">
        <v>1</v>
      </c>
      <c r="F411">
        <v>0</v>
      </c>
      <c r="G411">
        <v>0</v>
      </c>
      <c r="H411">
        <v>1</v>
      </c>
      <c r="I411">
        <v>1</v>
      </c>
      <c r="J411">
        <v>0</v>
      </c>
      <c r="L411" s="4" t="b">
        <f t="shared" si="36"/>
        <v>0</v>
      </c>
      <c r="M411" s="4" t="b">
        <f t="shared" si="37"/>
        <v>0</v>
      </c>
      <c r="N411" s="4" t="b">
        <f t="shared" si="38"/>
        <v>0</v>
      </c>
      <c r="O411" s="4" t="b">
        <f t="shared" si="39"/>
        <v>0</v>
      </c>
      <c r="P411" s="4" t="b">
        <f t="shared" si="40"/>
        <v>0</v>
      </c>
      <c r="Q411" s="4" t="b">
        <f t="shared" si="41"/>
        <v>0</v>
      </c>
    </row>
    <row r="412" spans="2:17" ht="15" x14ac:dyDescent="0.2">
      <c r="B412">
        <v>0</v>
      </c>
      <c r="C412">
        <v>0</v>
      </c>
      <c r="D412">
        <v>1</v>
      </c>
      <c r="E412">
        <v>1</v>
      </c>
      <c r="F412">
        <v>0</v>
      </c>
      <c r="G412">
        <v>0</v>
      </c>
      <c r="H412">
        <v>1</v>
      </c>
      <c r="I412">
        <v>0</v>
      </c>
      <c r="J412">
        <v>1</v>
      </c>
      <c r="L412" s="4" t="b">
        <f t="shared" si="36"/>
        <v>0</v>
      </c>
      <c r="M412" s="4" t="b">
        <f t="shared" si="37"/>
        <v>0</v>
      </c>
      <c r="N412" s="4" t="b">
        <f t="shared" si="38"/>
        <v>0</v>
      </c>
      <c r="O412" s="4" t="b">
        <f t="shared" si="39"/>
        <v>0</v>
      </c>
      <c r="P412" s="4" t="b">
        <f t="shared" si="40"/>
        <v>0</v>
      </c>
      <c r="Q412" s="4" t="b">
        <f t="shared" si="41"/>
        <v>0</v>
      </c>
    </row>
    <row r="413" spans="2:17" ht="15" x14ac:dyDescent="0.2">
      <c r="B413">
        <v>0</v>
      </c>
      <c r="C413">
        <v>0</v>
      </c>
      <c r="D413">
        <v>1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L413" s="4" t="b">
        <f t="shared" si="36"/>
        <v>0</v>
      </c>
      <c r="M413" s="4" t="b">
        <f t="shared" si="37"/>
        <v>0</v>
      </c>
      <c r="N413" s="4" t="b">
        <f t="shared" si="38"/>
        <v>0</v>
      </c>
      <c r="O413" s="4" t="b">
        <f t="shared" si="39"/>
        <v>0</v>
      </c>
      <c r="P413" s="4" t="b">
        <f t="shared" si="40"/>
        <v>0</v>
      </c>
      <c r="Q413" s="4" t="b">
        <f t="shared" si="41"/>
        <v>0</v>
      </c>
    </row>
    <row r="414" spans="2:17" ht="15" x14ac:dyDescent="0.2">
      <c r="B414">
        <v>0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1</v>
      </c>
      <c r="L414" s="4" t="b">
        <f t="shared" si="36"/>
        <v>0</v>
      </c>
      <c r="M414" s="4" t="b">
        <f t="shared" si="37"/>
        <v>0</v>
      </c>
      <c r="N414" s="4" t="b">
        <f t="shared" si="38"/>
        <v>0</v>
      </c>
      <c r="O414" s="4" t="b">
        <f t="shared" si="39"/>
        <v>0</v>
      </c>
      <c r="P414" s="4" t="b">
        <f t="shared" si="40"/>
        <v>0</v>
      </c>
      <c r="Q414" s="4" t="b">
        <f t="shared" si="41"/>
        <v>0</v>
      </c>
    </row>
    <row r="415" spans="2:17" ht="15" x14ac:dyDescent="0.2">
      <c r="B415">
        <v>0</v>
      </c>
      <c r="C415">
        <v>0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  <c r="L415" s="4" t="b">
        <f t="shared" si="36"/>
        <v>0</v>
      </c>
      <c r="M415" s="4" t="b">
        <f t="shared" si="37"/>
        <v>0</v>
      </c>
      <c r="N415" s="4" t="b">
        <f t="shared" si="38"/>
        <v>0</v>
      </c>
      <c r="O415" s="4" t="b">
        <f t="shared" si="39"/>
        <v>0</v>
      </c>
      <c r="P415" s="4" t="b">
        <f t="shared" si="40"/>
        <v>0</v>
      </c>
      <c r="Q415" s="4" t="b">
        <f t="shared" si="41"/>
        <v>0</v>
      </c>
    </row>
    <row r="416" spans="2:17" ht="15" x14ac:dyDescent="0.2">
      <c r="B416">
        <v>0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L416" s="4" t="b">
        <f t="shared" si="36"/>
        <v>0</v>
      </c>
      <c r="M416" s="4" t="b">
        <f t="shared" si="37"/>
        <v>0</v>
      </c>
      <c r="N416" s="4" t="b">
        <f t="shared" si="38"/>
        <v>0</v>
      </c>
      <c r="O416" s="4" t="b">
        <f t="shared" si="39"/>
        <v>0</v>
      </c>
      <c r="P416" s="4" t="b">
        <f t="shared" si="40"/>
        <v>0</v>
      </c>
      <c r="Q416" s="4" t="b">
        <f t="shared" si="41"/>
        <v>0</v>
      </c>
    </row>
    <row r="417" spans="2:17" ht="15" x14ac:dyDescent="0.2">
      <c r="B417">
        <v>0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L417" s="4" t="b">
        <f t="shared" si="36"/>
        <v>0</v>
      </c>
      <c r="M417" s="4" t="b">
        <f t="shared" si="37"/>
        <v>0</v>
      </c>
      <c r="N417" s="4" t="b">
        <f t="shared" si="38"/>
        <v>0</v>
      </c>
      <c r="O417" s="4" t="b">
        <f t="shared" si="39"/>
        <v>0</v>
      </c>
      <c r="P417" s="4" t="b">
        <f t="shared" si="40"/>
        <v>0</v>
      </c>
      <c r="Q417" s="4" t="b">
        <f t="shared" si="41"/>
        <v>0</v>
      </c>
    </row>
    <row r="418" spans="2:17" ht="15" x14ac:dyDescent="0.2">
      <c r="B418">
        <v>0</v>
      </c>
      <c r="C418">
        <v>0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L418" s="4" t="b">
        <f t="shared" si="36"/>
        <v>0</v>
      </c>
      <c r="M418" s="4" t="b">
        <f t="shared" si="37"/>
        <v>0</v>
      </c>
      <c r="N418" s="4" t="b">
        <f t="shared" si="38"/>
        <v>1</v>
      </c>
      <c r="O418" s="4" t="b">
        <f t="shared" si="39"/>
        <v>0</v>
      </c>
      <c r="P418" s="4" t="b">
        <f t="shared" si="40"/>
        <v>0</v>
      </c>
      <c r="Q418" s="4" t="b">
        <f t="shared" si="41"/>
        <v>1</v>
      </c>
    </row>
    <row r="419" spans="2:17" ht="15" x14ac:dyDescent="0.2">
      <c r="B419">
        <v>0</v>
      </c>
      <c r="C419">
        <v>0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0</v>
      </c>
      <c r="L419" s="4" t="b">
        <f t="shared" si="36"/>
        <v>0</v>
      </c>
      <c r="M419" s="4" t="b">
        <f t="shared" si="37"/>
        <v>0</v>
      </c>
      <c r="N419" s="4" t="b">
        <f t="shared" si="38"/>
        <v>0</v>
      </c>
      <c r="O419" s="4" t="b">
        <f t="shared" si="39"/>
        <v>0</v>
      </c>
      <c r="P419" s="4" t="b">
        <f t="shared" si="40"/>
        <v>0</v>
      </c>
      <c r="Q419" s="4" t="b">
        <f t="shared" si="41"/>
        <v>0</v>
      </c>
    </row>
    <row r="420" spans="2:17" ht="15" x14ac:dyDescent="0.2">
      <c r="B420">
        <v>0</v>
      </c>
      <c r="C420">
        <v>0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0</v>
      </c>
      <c r="J420">
        <v>1</v>
      </c>
      <c r="L420" s="4" t="b">
        <f t="shared" si="36"/>
        <v>0</v>
      </c>
      <c r="M420" s="4" t="b">
        <f t="shared" si="37"/>
        <v>0</v>
      </c>
      <c r="N420" s="4" t="b">
        <f t="shared" si="38"/>
        <v>0</v>
      </c>
      <c r="O420" s="4" t="b">
        <f t="shared" si="39"/>
        <v>0</v>
      </c>
      <c r="P420" s="4" t="b">
        <f t="shared" si="40"/>
        <v>0</v>
      </c>
      <c r="Q420" s="4" t="b">
        <f t="shared" si="41"/>
        <v>1</v>
      </c>
    </row>
    <row r="421" spans="2:17" ht="15" x14ac:dyDescent="0.2">
      <c r="B421">
        <v>0</v>
      </c>
      <c r="C421">
        <v>0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0</v>
      </c>
      <c r="J421">
        <v>0</v>
      </c>
      <c r="L421" s="4" t="b">
        <f t="shared" si="36"/>
        <v>0</v>
      </c>
      <c r="M421" s="4" t="b">
        <f t="shared" si="37"/>
        <v>0</v>
      </c>
      <c r="N421" s="4" t="b">
        <f t="shared" si="38"/>
        <v>0</v>
      </c>
      <c r="O421" s="4" t="b">
        <f t="shared" si="39"/>
        <v>0</v>
      </c>
      <c r="P421" s="4" t="b">
        <f t="shared" si="40"/>
        <v>0</v>
      </c>
      <c r="Q421" s="4" t="b">
        <f t="shared" si="41"/>
        <v>0</v>
      </c>
    </row>
    <row r="422" spans="2:17" ht="15" x14ac:dyDescent="0.2">
      <c r="B422">
        <v>0</v>
      </c>
      <c r="C422">
        <v>0</v>
      </c>
      <c r="D422">
        <v>1</v>
      </c>
      <c r="E422">
        <v>0</v>
      </c>
      <c r="F422">
        <v>1</v>
      </c>
      <c r="G422">
        <v>1</v>
      </c>
      <c r="H422">
        <v>0</v>
      </c>
      <c r="I422">
        <v>1</v>
      </c>
      <c r="J422">
        <v>1</v>
      </c>
      <c r="L422" s="4" t="b">
        <f t="shared" si="36"/>
        <v>0</v>
      </c>
      <c r="M422" s="4" t="b">
        <f t="shared" si="37"/>
        <v>0</v>
      </c>
      <c r="N422" s="4" t="b">
        <f t="shared" si="38"/>
        <v>0</v>
      </c>
      <c r="O422" s="4" t="b">
        <f t="shared" si="39"/>
        <v>0</v>
      </c>
      <c r="P422" s="4" t="b">
        <f t="shared" si="40"/>
        <v>0</v>
      </c>
      <c r="Q422" s="4" t="b">
        <f t="shared" si="41"/>
        <v>1</v>
      </c>
    </row>
    <row r="423" spans="2:17" ht="15" x14ac:dyDescent="0.2">
      <c r="B423">
        <v>0</v>
      </c>
      <c r="C423">
        <v>0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0</v>
      </c>
      <c r="L423" s="4" t="b">
        <f t="shared" si="36"/>
        <v>0</v>
      </c>
      <c r="M423" s="4" t="b">
        <f t="shared" si="37"/>
        <v>0</v>
      </c>
      <c r="N423" s="4" t="b">
        <f t="shared" si="38"/>
        <v>0</v>
      </c>
      <c r="O423" s="4" t="b">
        <f t="shared" si="39"/>
        <v>0</v>
      </c>
      <c r="P423" s="4" t="b">
        <f t="shared" si="40"/>
        <v>0</v>
      </c>
      <c r="Q423" s="4" t="b">
        <f t="shared" si="41"/>
        <v>0</v>
      </c>
    </row>
    <row r="424" spans="2:17" ht="15" x14ac:dyDescent="0.2">
      <c r="B424">
        <v>0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0</v>
      </c>
      <c r="I424">
        <v>0</v>
      </c>
      <c r="J424">
        <v>1</v>
      </c>
      <c r="L424" s="4" t="b">
        <f t="shared" si="36"/>
        <v>0</v>
      </c>
      <c r="M424" s="4" t="b">
        <f t="shared" si="37"/>
        <v>0</v>
      </c>
      <c r="N424" s="4" t="b">
        <f t="shared" si="38"/>
        <v>0</v>
      </c>
      <c r="O424" s="4" t="b">
        <f t="shared" si="39"/>
        <v>0</v>
      </c>
      <c r="P424" s="4" t="b">
        <f t="shared" si="40"/>
        <v>0</v>
      </c>
      <c r="Q424" s="4" t="b">
        <f t="shared" si="41"/>
        <v>1</v>
      </c>
    </row>
    <row r="425" spans="2:17" ht="15" x14ac:dyDescent="0.2">
      <c r="B425">
        <v>0</v>
      </c>
      <c r="C425">
        <v>0</v>
      </c>
      <c r="D425">
        <v>1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0</v>
      </c>
      <c r="L425" s="4" t="b">
        <f t="shared" si="36"/>
        <v>0</v>
      </c>
      <c r="M425" s="4" t="b">
        <f t="shared" si="37"/>
        <v>0</v>
      </c>
      <c r="N425" s="4" t="b">
        <f t="shared" si="38"/>
        <v>0</v>
      </c>
      <c r="O425" s="4" t="b">
        <f t="shared" si="39"/>
        <v>0</v>
      </c>
      <c r="P425" s="4" t="b">
        <f t="shared" si="40"/>
        <v>0</v>
      </c>
      <c r="Q425" s="4" t="b">
        <f t="shared" si="41"/>
        <v>0</v>
      </c>
    </row>
    <row r="426" spans="2:17" ht="15" x14ac:dyDescent="0.2"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1</v>
      </c>
      <c r="L426" s="4" t="b">
        <f t="shared" si="36"/>
        <v>0</v>
      </c>
      <c r="M426" s="4" t="b">
        <f t="shared" si="37"/>
        <v>0</v>
      </c>
      <c r="N426" s="4" t="b">
        <f t="shared" si="38"/>
        <v>1</v>
      </c>
      <c r="O426" s="4" t="b">
        <f t="shared" si="39"/>
        <v>0</v>
      </c>
      <c r="P426" s="4" t="b">
        <f t="shared" si="40"/>
        <v>0</v>
      </c>
      <c r="Q426" s="4" t="b">
        <f t="shared" si="41"/>
        <v>0</v>
      </c>
    </row>
    <row r="427" spans="2:17" ht="15" x14ac:dyDescent="0.2">
      <c r="B427">
        <v>0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1</v>
      </c>
      <c r="J427">
        <v>0</v>
      </c>
      <c r="L427" s="4" t="b">
        <f t="shared" si="36"/>
        <v>0</v>
      </c>
      <c r="M427" s="4" t="b">
        <f t="shared" si="37"/>
        <v>0</v>
      </c>
      <c r="N427" s="4" t="b">
        <f t="shared" si="38"/>
        <v>0</v>
      </c>
      <c r="O427" s="4" t="b">
        <f t="shared" si="39"/>
        <v>0</v>
      </c>
      <c r="P427" s="4" t="b">
        <f t="shared" si="40"/>
        <v>0</v>
      </c>
      <c r="Q427" s="4" t="b">
        <f t="shared" si="41"/>
        <v>0</v>
      </c>
    </row>
    <row r="428" spans="2:17" ht="15" x14ac:dyDescent="0.2">
      <c r="B428">
        <v>0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1</v>
      </c>
      <c r="L428" s="4" t="b">
        <f t="shared" si="36"/>
        <v>0</v>
      </c>
      <c r="M428" s="4" t="b">
        <f t="shared" si="37"/>
        <v>0</v>
      </c>
      <c r="N428" s="4" t="b">
        <f t="shared" si="38"/>
        <v>0</v>
      </c>
      <c r="O428" s="4" t="b">
        <f t="shared" si="39"/>
        <v>0</v>
      </c>
      <c r="P428" s="4" t="b">
        <f t="shared" si="40"/>
        <v>0</v>
      </c>
      <c r="Q428" s="4" t="b">
        <f t="shared" si="41"/>
        <v>0</v>
      </c>
    </row>
    <row r="429" spans="2:17" ht="15" x14ac:dyDescent="0.2">
      <c r="B429">
        <v>0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0</v>
      </c>
      <c r="L429" s="4" t="b">
        <f t="shared" si="36"/>
        <v>0</v>
      </c>
      <c r="M429" s="4" t="b">
        <f t="shared" si="37"/>
        <v>0</v>
      </c>
      <c r="N429" s="4" t="b">
        <f t="shared" si="38"/>
        <v>0</v>
      </c>
      <c r="O429" s="4" t="b">
        <f t="shared" si="39"/>
        <v>0</v>
      </c>
      <c r="P429" s="4" t="b">
        <f t="shared" si="40"/>
        <v>0</v>
      </c>
      <c r="Q429" s="4" t="b">
        <f t="shared" si="41"/>
        <v>0</v>
      </c>
    </row>
    <row r="430" spans="2:17" ht="15" x14ac:dyDescent="0.2">
      <c r="B430">
        <v>0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1</v>
      </c>
      <c r="J430">
        <v>1</v>
      </c>
      <c r="L430" s="4" t="b">
        <f t="shared" si="36"/>
        <v>0</v>
      </c>
      <c r="M430" s="4" t="b">
        <f t="shared" si="37"/>
        <v>0</v>
      </c>
      <c r="N430" s="4" t="b">
        <f t="shared" si="38"/>
        <v>0</v>
      </c>
      <c r="O430" s="4" t="b">
        <f t="shared" si="39"/>
        <v>0</v>
      </c>
      <c r="P430" s="4" t="b">
        <f t="shared" si="40"/>
        <v>0</v>
      </c>
      <c r="Q430" s="4" t="b">
        <f t="shared" si="41"/>
        <v>0</v>
      </c>
    </row>
    <row r="431" spans="2:17" ht="15" x14ac:dyDescent="0.2">
      <c r="B431">
        <v>0</v>
      </c>
      <c r="C431">
        <v>0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0</v>
      </c>
      <c r="L431" s="4" t="b">
        <f t="shared" si="36"/>
        <v>0</v>
      </c>
      <c r="M431" s="4" t="b">
        <f t="shared" si="37"/>
        <v>0</v>
      </c>
      <c r="N431" s="4" t="b">
        <f t="shared" si="38"/>
        <v>0</v>
      </c>
      <c r="O431" s="4" t="b">
        <f t="shared" si="39"/>
        <v>0</v>
      </c>
      <c r="P431" s="4" t="b">
        <f t="shared" si="40"/>
        <v>0</v>
      </c>
      <c r="Q431" s="4" t="b">
        <f t="shared" si="41"/>
        <v>0</v>
      </c>
    </row>
    <row r="432" spans="2:17" ht="15" x14ac:dyDescent="0.2"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1</v>
      </c>
      <c r="L432" s="4" t="b">
        <f t="shared" si="36"/>
        <v>0</v>
      </c>
      <c r="M432" s="4" t="b">
        <f t="shared" si="37"/>
        <v>0</v>
      </c>
      <c r="N432" s="4" t="b">
        <f t="shared" si="38"/>
        <v>0</v>
      </c>
      <c r="O432" s="4" t="b">
        <f t="shared" si="39"/>
        <v>0</v>
      </c>
      <c r="P432" s="4" t="b">
        <f t="shared" si="40"/>
        <v>0</v>
      </c>
      <c r="Q432" s="4" t="b">
        <f t="shared" si="41"/>
        <v>0</v>
      </c>
    </row>
    <row r="433" spans="2:17" ht="15" x14ac:dyDescent="0.2">
      <c r="B433">
        <v>0</v>
      </c>
      <c r="C433">
        <v>0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L433" s="4" t="b">
        <f t="shared" si="36"/>
        <v>0</v>
      </c>
      <c r="M433" s="4" t="b">
        <f t="shared" si="37"/>
        <v>0</v>
      </c>
      <c r="N433" s="4" t="b">
        <f t="shared" si="38"/>
        <v>0</v>
      </c>
      <c r="O433" s="4" t="b">
        <f t="shared" si="39"/>
        <v>0</v>
      </c>
      <c r="P433" s="4" t="b">
        <f t="shared" si="40"/>
        <v>0</v>
      </c>
      <c r="Q433" s="4" t="b">
        <f t="shared" si="41"/>
        <v>0</v>
      </c>
    </row>
    <row r="434" spans="2:17" ht="15" x14ac:dyDescent="0.2">
      <c r="B434">
        <v>0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1</v>
      </c>
      <c r="J434">
        <v>1</v>
      </c>
      <c r="L434" s="4" t="b">
        <f t="shared" si="36"/>
        <v>0</v>
      </c>
      <c r="M434" s="4" t="b">
        <f t="shared" si="37"/>
        <v>0</v>
      </c>
      <c r="N434" s="4" t="b">
        <f t="shared" si="38"/>
        <v>1</v>
      </c>
      <c r="O434" s="4" t="b">
        <f t="shared" si="39"/>
        <v>0</v>
      </c>
      <c r="P434" s="4" t="b">
        <f t="shared" si="40"/>
        <v>0</v>
      </c>
      <c r="Q434" s="4" t="b">
        <f t="shared" si="41"/>
        <v>1</v>
      </c>
    </row>
    <row r="435" spans="2:17" ht="15" x14ac:dyDescent="0.2">
      <c r="B435">
        <v>0</v>
      </c>
      <c r="C435">
        <v>0</v>
      </c>
      <c r="D435">
        <v>1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0</v>
      </c>
      <c r="L435" s="4" t="b">
        <f t="shared" si="36"/>
        <v>0</v>
      </c>
      <c r="M435" s="4" t="b">
        <f t="shared" si="37"/>
        <v>0</v>
      </c>
      <c r="N435" s="4" t="b">
        <f t="shared" si="38"/>
        <v>0</v>
      </c>
      <c r="O435" s="4" t="b">
        <f t="shared" si="39"/>
        <v>0</v>
      </c>
      <c r="P435" s="4" t="b">
        <f t="shared" si="40"/>
        <v>0</v>
      </c>
      <c r="Q435" s="4" t="b">
        <f t="shared" si="41"/>
        <v>0</v>
      </c>
    </row>
    <row r="436" spans="2:17" ht="15" x14ac:dyDescent="0.2">
      <c r="B436">
        <v>0</v>
      </c>
      <c r="C436">
        <v>0</v>
      </c>
      <c r="D436">
        <v>1</v>
      </c>
      <c r="E436">
        <v>0</v>
      </c>
      <c r="F436">
        <v>0</v>
      </c>
      <c r="G436">
        <v>1</v>
      </c>
      <c r="H436">
        <v>1</v>
      </c>
      <c r="I436">
        <v>0</v>
      </c>
      <c r="J436">
        <v>1</v>
      </c>
      <c r="L436" s="4" t="b">
        <f t="shared" si="36"/>
        <v>0</v>
      </c>
      <c r="M436" s="4" t="b">
        <f t="shared" si="37"/>
        <v>0</v>
      </c>
      <c r="N436" s="4" t="b">
        <f t="shared" si="38"/>
        <v>0</v>
      </c>
      <c r="O436" s="4" t="b">
        <f t="shared" si="39"/>
        <v>0</v>
      </c>
      <c r="P436" s="4" t="b">
        <f t="shared" si="40"/>
        <v>0</v>
      </c>
      <c r="Q436" s="4" t="b">
        <f t="shared" si="41"/>
        <v>1</v>
      </c>
    </row>
    <row r="437" spans="2:17" ht="15" x14ac:dyDescent="0.2">
      <c r="B437">
        <v>0</v>
      </c>
      <c r="C437">
        <v>0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0</v>
      </c>
      <c r="J437">
        <v>0</v>
      </c>
      <c r="L437" s="4" t="b">
        <f t="shared" si="36"/>
        <v>0</v>
      </c>
      <c r="M437" s="4" t="b">
        <f t="shared" si="37"/>
        <v>0</v>
      </c>
      <c r="N437" s="4" t="b">
        <f t="shared" si="38"/>
        <v>0</v>
      </c>
      <c r="O437" s="4" t="b">
        <f t="shared" si="39"/>
        <v>0</v>
      </c>
      <c r="P437" s="4" t="b">
        <f t="shared" si="40"/>
        <v>0</v>
      </c>
      <c r="Q437" s="4" t="b">
        <f t="shared" si="41"/>
        <v>0</v>
      </c>
    </row>
    <row r="438" spans="2:17" ht="15" x14ac:dyDescent="0.2">
      <c r="B438">
        <v>0</v>
      </c>
      <c r="C438">
        <v>0</v>
      </c>
      <c r="D438">
        <v>1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1</v>
      </c>
      <c r="L438" s="4" t="b">
        <f t="shared" si="36"/>
        <v>0</v>
      </c>
      <c r="M438" s="4" t="b">
        <f t="shared" si="37"/>
        <v>0</v>
      </c>
      <c r="N438" s="4" t="b">
        <f t="shared" si="38"/>
        <v>0</v>
      </c>
      <c r="O438" s="4" t="b">
        <f t="shared" si="39"/>
        <v>0</v>
      </c>
      <c r="P438" s="4" t="b">
        <f t="shared" si="40"/>
        <v>0</v>
      </c>
      <c r="Q438" s="4" t="b">
        <f t="shared" si="41"/>
        <v>1</v>
      </c>
    </row>
    <row r="439" spans="2:17" ht="15" x14ac:dyDescent="0.2">
      <c r="B439">
        <v>0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1</v>
      </c>
      <c r="J439">
        <v>0</v>
      </c>
      <c r="L439" s="4" t="b">
        <f t="shared" si="36"/>
        <v>0</v>
      </c>
      <c r="M439" s="4" t="b">
        <f t="shared" si="37"/>
        <v>0</v>
      </c>
      <c r="N439" s="4" t="b">
        <f t="shared" si="38"/>
        <v>0</v>
      </c>
      <c r="O439" s="4" t="b">
        <f t="shared" si="39"/>
        <v>0</v>
      </c>
      <c r="P439" s="4" t="b">
        <f t="shared" si="40"/>
        <v>0</v>
      </c>
      <c r="Q439" s="4" t="b">
        <f t="shared" si="41"/>
        <v>0</v>
      </c>
    </row>
    <row r="440" spans="2:17" ht="15" x14ac:dyDescent="0.2">
      <c r="B440">
        <v>0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1</v>
      </c>
      <c r="L440" s="4" t="b">
        <f t="shared" si="36"/>
        <v>0</v>
      </c>
      <c r="M440" s="4" t="b">
        <f t="shared" si="37"/>
        <v>0</v>
      </c>
      <c r="N440" s="4" t="b">
        <f t="shared" si="38"/>
        <v>0</v>
      </c>
      <c r="O440" s="4" t="b">
        <f t="shared" si="39"/>
        <v>0</v>
      </c>
      <c r="P440" s="4" t="b">
        <f t="shared" si="40"/>
        <v>0</v>
      </c>
      <c r="Q440" s="4" t="b">
        <f t="shared" si="41"/>
        <v>1</v>
      </c>
    </row>
    <row r="441" spans="2:17" ht="15" x14ac:dyDescent="0.2">
      <c r="B441">
        <v>0</v>
      </c>
      <c r="C441">
        <v>0</v>
      </c>
      <c r="D441">
        <v>1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L441" s="4" t="b">
        <f t="shared" si="36"/>
        <v>0</v>
      </c>
      <c r="M441" s="4" t="b">
        <f t="shared" si="37"/>
        <v>0</v>
      </c>
      <c r="N441" s="4" t="b">
        <f t="shared" si="38"/>
        <v>0</v>
      </c>
      <c r="O441" s="4" t="b">
        <f t="shared" si="39"/>
        <v>0</v>
      </c>
      <c r="P441" s="4" t="b">
        <f t="shared" si="40"/>
        <v>0</v>
      </c>
      <c r="Q441" s="4" t="b">
        <f t="shared" si="41"/>
        <v>0</v>
      </c>
    </row>
    <row r="442" spans="2:17" ht="15" x14ac:dyDescent="0.2">
      <c r="B442">
        <v>0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1</v>
      </c>
      <c r="L442" s="4" t="b">
        <f t="shared" si="36"/>
        <v>0</v>
      </c>
      <c r="M442" s="4" t="b">
        <f t="shared" si="37"/>
        <v>0</v>
      </c>
      <c r="N442" s="4" t="b">
        <f t="shared" si="38"/>
        <v>1</v>
      </c>
      <c r="O442" s="4" t="b">
        <f t="shared" si="39"/>
        <v>0</v>
      </c>
      <c r="P442" s="4" t="b">
        <f t="shared" si="40"/>
        <v>0</v>
      </c>
      <c r="Q442" s="4" t="b">
        <f t="shared" si="41"/>
        <v>0</v>
      </c>
    </row>
    <row r="443" spans="2:17" ht="15" x14ac:dyDescent="0.2"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L443" s="4" t="b">
        <f t="shared" si="36"/>
        <v>0</v>
      </c>
      <c r="M443" s="4" t="b">
        <f t="shared" si="37"/>
        <v>0</v>
      </c>
      <c r="N443" s="4" t="b">
        <f t="shared" si="38"/>
        <v>0</v>
      </c>
      <c r="O443" s="4" t="b">
        <f t="shared" si="39"/>
        <v>0</v>
      </c>
      <c r="P443" s="4" t="b">
        <f t="shared" si="40"/>
        <v>0</v>
      </c>
      <c r="Q443" s="4" t="b">
        <f t="shared" si="41"/>
        <v>0</v>
      </c>
    </row>
    <row r="444" spans="2:17" ht="15" x14ac:dyDescent="0.2">
      <c r="B444">
        <v>0</v>
      </c>
      <c r="C444">
        <v>0</v>
      </c>
      <c r="D444">
        <v>1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1</v>
      </c>
      <c r="L444" s="4" t="b">
        <f t="shared" si="36"/>
        <v>0</v>
      </c>
      <c r="M444" s="4" t="b">
        <f t="shared" si="37"/>
        <v>0</v>
      </c>
      <c r="N444" s="4" t="b">
        <f t="shared" si="38"/>
        <v>0</v>
      </c>
      <c r="O444" s="4" t="b">
        <f t="shared" si="39"/>
        <v>0</v>
      </c>
      <c r="P444" s="4" t="b">
        <f t="shared" si="40"/>
        <v>0</v>
      </c>
      <c r="Q444" s="4" t="b">
        <f t="shared" si="41"/>
        <v>0</v>
      </c>
    </row>
    <row r="445" spans="2:17" ht="15" x14ac:dyDescent="0.2">
      <c r="B445">
        <v>0</v>
      </c>
      <c r="C445">
        <v>0</v>
      </c>
      <c r="D445">
        <v>1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L445" s="4" t="b">
        <f t="shared" si="36"/>
        <v>0</v>
      </c>
      <c r="M445" s="4" t="b">
        <f t="shared" si="37"/>
        <v>0</v>
      </c>
      <c r="N445" s="4" t="b">
        <f t="shared" si="38"/>
        <v>0</v>
      </c>
      <c r="O445" s="4" t="b">
        <f t="shared" si="39"/>
        <v>0</v>
      </c>
      <c r="P445" s="4" t="b">
        <f t="shared" si="40"/>
        <v>0</v>
      </c>
      <c r="Q445" s="4" t="b">
        <f t="shared" si="41"/>
        <v>0</v>
      </c>
    </row>
    <row r="446" spans="2:17" ht="15" x14ac:dyDescent="0.2"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</v>
      </c>
      <c r="L446" s="4" t="b">
        <f t="shared" si="36"/>
        <v>0</v>
      </c>
      <c r="M446" s="4" t="b">
        <f t="shared" si="37"/>
        <v>0</v>
      </c>
      <c r="N446" s="4" t="b">
        <f t="shared" si="38"/>
        <v>0</v>
      </c>
      <c r="O446" s="4" t="b">
        <f t="shared" si="39"/>
        <v>0</v>
      </c>
      <c r="P446" s="4" t="b">
        <f t="shared" si="40"/>
        <v>0</v>
      </c>
      <c r="Q446" s="4" t="b">
        <f t="shared" si="41"/>
        <v>0</v>
      </c>
    </row>
    <row r="447" spans="2:17" ht="15" x14ac:dyDescent="0.2">
      <c r="B447">
        <v>0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L447" s="4" t="b">
        <f t="shared" si="36"/>
        <v>0</v>
      </c>
      <c r="M447" s="4" t="b">
        <f t="shared" si="37"/>
        <v>0</v>
      </c>
      <c r="N447" s="4" t="b">
        <f t="shared" si="38"/>
        <v>0</v>
      </c>
      <c r="O447" s="4" t="b">
        <f t="shared" si="39"/>
        <v>0</v>
      </c>
      <c r="P447" s="4" t="b">
        <f t="shared" si="40"/>
        <v>0</v>
      </c>
      <c r="Q447" s="4" t="b">
        <f t="shared" si="41"/>
        <v>0</v>
      </c>
    </row>
    <row r="448" spans="2:17" ht="15" x14ac:dyDescent="0.2"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L448" s="4" t="b">
        <f t="shared" si="36"/>
        <v>0</v>
      </c>
      <c r="M448" s="4" t="b">
        <f t="shared" si="37"/>
        <v>0</v>
      </c>
      <c r="N448" s="4" t="b">
        <f t="shared" si="38"/>
        <v>0</v>
      </c>
      <c r="O448" s="4" t="b">
        <f t="shared" si="39"/>
        <v>0</v>
      </c>
      <c r="P448" s="4" t="b">
        <f t="shared" si="40"/>
        <v>0</v>
      </c>
      <c r="Q448" s="4" t="b">
        <f t="shared" si="41"/>
        <v>0</v>
      </c>
    </row>
    <row r="449" spans="2:17" ht="15" x14ac:dyDescent="0.2"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L449" s="4" t="b">
        <f t="shared" si="36"/>
        <v>0</v>
      </c>
      <c r="M449" s="4" t="b">
        <f t="shared" si="37"/>
        <v>0</v>
      </c>
      <c r="N449" s="4" t="b">
        <f t="shared" si="38"/>
        <v>0</v>
      </c>
      <c r="O449" s="4" t="b">
        <f t="shared" si="39"/>
        <v>0</v>
      </c>
      <c r="P449" s="4" t="b">
        <f t="shared" si="40"/>
        <v>0</v>
      </c>
      <c r="Q449" s="4" t="b">
        <f t="shared" si="41"/>
        <v>0</v>
      </c>
    </row>
    <row r="450" spans="2:17" ht="15" x14ac:dyDescent="0.2">
      <c r="B450">
        <v>0</v>
      </c>
      <c r="C450">
        <v>0</v>
      </c>
      <c r="D450">
        <v>0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L450" s="4" t="b">
        <f t="shared" ref="L450:L513" si="42">AND($B450&gt;=$V$2,$C450&gt;=$W$2,$D450&gt;=$X$2,$E450&gt;=$Y$2,$F450&gt;=$Z$2,$G450&gt;=$AA$2,$H450&gt;=$AB$2,$I450&gt;=$AC$2,$J450&gt;=$AD$2)</f>
        <v>0</v>
      </c>
      <c r="M450" s="4" t="b">
        <f t="shared" ref="M450:M513" si="43">AND($B450&gt;=$V$3,$C450&gt;=$W$3,$D450&gt;=$X$3,$E450&gt;=$Y$3,$F450&gt;=$Z$3,$G450&gt;=$AA$3,$H450&gt;=$AB$3,$I450&gt;=$AC$3,$J450&gt;=$AD$3)</f>
        <v>1</v>
      </c>
      <c r="N450" s="4" t="b">
        <f t="shared" ref="N450:N513" si="44">AND($B450&gt;=$V$4,$C450&gt;=$W$4,$D450&gt;=$X$4,$E450&gt;=$Y$4,$F450&gt;=$Z$4,$G450&gt;=$AA$4,$H450&gt;=$AB$4,$I450&gt;=$AC$4,$J450&gt;=$AD$4)</f>
        <v>1</v>
      </c>
      <c r="O450" s="4" t="b">
        <f t="shared" ref="O450:O513" si="45">AND($B450&gt;=$V$5,$C450&gt;=$W$5,$D450&gt;=$X$5,$E450&gt;=$Y$5,$F450&gt;=$Z$5,$G450&gt;=$AA$5,$H450&gt;=$AB$5,$I450&gt;=$AC$5,$J450&gt;=$AD$5)</f>
        <v>0</v>
      </c>
      <c r="P450" s="4" t="b">
        <f t="shared" ref="P450:P513" si="46">AND($B450&gt;=$V$6,$C450&gt;=$W$6,$D450&gt;=$X$6,$E450&gt;=$Y$6,$F450&gt;=$Z$6,$G450&gt;=$AA$6,$H450&gt;=$AB$6,$I450&gt;=$AC$6,$J450&gt;=$AD$6)</f>
        <v>0</v>
      </c>
      <c r="Q450" s="4" t="b">
        <f t="shared" ref="Q450:Q513" si="47">AND($B450&gt;=$V$7,$C450&gt;=$W$7,$D450&gt;=$X$7,$E450&gt;=$Y$7,$F450&gt;=$Z$7,$G450&gt;=$AA$7,$H450&gt;=$AB$7,$I450&gt;=$AC$7,$J450&gt;=$AD$7)</f>
        <v>0</v>
      </c>
    </row>
    <row r="451" spans="2:17" ht="15" x14ac:dyDescent="0.2">
      <c r="B451">
        <v>0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0</v>
      </c>
      <c r="L451" s="4" t="b">
        <f t="shared" si="42"/>
        <v>0</v>
      </c>
      <c r="M451" s="4" t="b">
        <f t="shared" si="43"/>
        <v>1</v>
      </c>
      <c r="N451" s="4" t="b">
        <f t="shared" si="44"/>
        <v>0</v>
      </c>
      <c r="O451" s="4" t="b">
        <f t="shared" si="45"/>
        <v>0</v>
      </c>
      <c r="P451" s="4" t="b">
        <f t="shared" si="46"/>
        <v>0</v>
      </c>
      <c r="Q451" s="4" t="b">
        <f t="shared" si="47"/>
        <v>0</v>
      </c>
    </row>
    <row r="452" spans="2:17" ht="15" x14ac:dyDescent="0.2">
      <c r="B452">
        <v>0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1</v>
      </c>
      <c r="L452" s="4" t="b">
        <f t="shared" si="42"/>
        <v>0</v>
      </c>
      <c r="M452" s="4" t="b">
        <f t="shared" si="43"/>
        <v>1</v>
      </c>
      <c r="N452" s="4" t="b">
        <f t="shared" si="44"/>
        <v>0</v>
      </c>
      <c r="O452" s="4" t="b">
        <f t="shared" si="45"/>
        <v>0</v>
      </c>
      <c r="P452" s="4" t="b">
        <f t="shared" si="46"/>
        <v>0</v>
      </c>
      <c r="Q452" s="4" t="b">
        <f t="shared" si="47"/>
        <v>0</v>
      </c>
    </row>
    <row r="453" spans="2:17" ht="15" x14ac:dyDescent="0.2">
      <c r="B453">
        <v>0</v>
      </c>
      <c r="C453">
        <v>0</v>
      </c>
      <c r="D453">
        <v>0</v>
      </c>
      <c r="E453">
        <v>1</v>
      </c>
      <c r="F453">
        <v>1</v>
      </c>
      <c r="G453">
        <v>1</v>
      </c>
      <c r="H453">
        <v>1</v>
      </c>
      <c r="I453">
        <v>0</v>
      </c>
      <c r="J453">
        <v>0</v>
      </c>
      <c r="L453" s="4" t="b">
        <f t="shared" si="42"/>
        <v>0</v>
      </c>
      <c r="M453" s="4" t="b">
        <f t="shared" si="43"/>
        <v>1</v>
      </c>
      <c r="N453" s="4" t="b">
        <f t="shared" si="44"/>
        <v>0</v>
      </c>
      <c r="O453" s="4" t="b">
        <f t="shared" si="45"/>
        <v>0</v>
      </c>
      <c r="P453" s="4" t="b">
        <f t="shared" si="46"/>
        <v>0</v>
      </c>
      <c r="Q453" s="4" t="b">
        <f t="shared" si="47"/>
        <v>0</v>
      </c>
    </row>
    <row r="454" spans="2:17" ht="15" x14ac:dyDescent="0.2">
      <c r="B454">
        <v>0</v>
      </c>
      <c r="C454">
        <v>0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L454" s="4" t="b">
        <f t="shared" si="42"/>
        <v>0</v>
      </c>
      <c r="M454" s="4" t="b">
        <f t="shared" si="43"/>
        <v>1</v>
      </c>
      <c r="N454" s="4" t="b">
        <f t="shared" si="44"/>
        <v>0</v>
      </c>
      <c r="O454" s="4" t="b">
        <f t="shared" si="45"/>
        <v>0</v>
      </c>
      <c r="P454" s="4" t="b">
        <f t="shared" si="46"/>
        <v>0</v>
      </c>
      <c r="Q454" s="4" t="b">
        <f t="shared" si="47"/>
        <v>0</v>
      </c>
    </row>
    <row r="455" spans="2:17" ht="15" x14ac:dyDescent="0.2">
      <c r="B455">
        <v>0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0</v>
      </c>
      <c r="I455">
        <v>1</v>
      </c>
      <c r="J455">
        <v>0</v>
      </c>
      <c r="L455" s="4" t="b">
        <f t="shared" si="42"/>
        <v>0</v>
      </c>
      <c r="M455" s="4" t="b">
        <f t="shared" si="43"/>
        <v>1</v>
      </c>
      <c r="N455" s="4" t="b">
        <f t="shared" si="44"/>
        <v>0</v>
      </c>
      <c r="O455" s="4" t="b">
        <f t="shared" si="45"/>
        <v>0</v>
      </c>
      <c r="P455" s="4" t="b">
        <f t="shared" si="46"/>
        <v>0</v>
      </c>
      <c r="Q455" s="4" t="b">
        <f t="shared" si="47"/>
        <v>0</v>
      </c>
    </row>
    <row r="456" spans="2:17" ht="15" x14ac:dyDescent="0.2">
      <c r="B456">
        <v>0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0</v>
      </c>
      <c r="I456">
        <v>0</v>
      </c>
      <c r="J456">
        <v>1</v>
      </c>
      <c r="L456" s="4" t="b">
        <f t="shared" si="42"/>
        <v>0</v>
      </c>
      <c r="M456" s="4" t="b">
        <f t="shared" si="43"/>
        <v>1</v>
      </c>
      <c r="N456" s="4" t="b">
        <f t="shared" si="44"/>
        <v>0</v>
      </c>
      <c r="O456" s="4" t="b">
        <f t="shared" si="45"/>
        <v>0</v>
      </c>
      <c r="P456" s="4" t="b">
        <f t="shared" si="46"/>
        <v>0</v>
      </c>
      <c r="Q456" s="4" t="b">
        <f t="shared" si="47"/>
        <v>0</v>
      </c>
    </row>
    <row r="457" spans="2:17" ht="15" x14ac:dyDescent="0.2">
      <c r="B457">
        <v>0</v>
      </c>
      <c r="C457">
        <v>0</v>
      </c>
      <c r="D457">
        <v>0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0</v>
      </c>
      <c r="L457" s="4" t="b">
        <f t="shared" si="42"/>
        <v>0</v>
      </c>
      <c r="M457" s="4" t="b">
        <f t="shared" si="43"/>
        <v>1</v>
      </c>
      <c r="N457" s="4" t="b">
        <f t="shared" si="44"/>
        <v>0</v>
      </c>
      <c r="O457" s="4" t="b">
        <f t="shared" si="45"/>
        <v>0</v>
      </c>
      <c r="P457" s="4" t="b">
        <f t="shared" si="46"/>
        <v>0</v>
      </c>
      <c r="Q457" s="4" t="b">
        <f t="shared" si="47"/>
        <v>0</v>
      </c>
    </row>
    <row r="458" spans="2:17" ht="15" x14ac:dyDescent="0.2">
      <c r="B458">
        <v>0</v>
      </c>
      <c r="C458">
        <v>0</v>
      </c>
      <c r="D458">
        <v>0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1</v>
      </c>
      <c r="L458" s="4" t="b">
        <f t="shared" si="42"/>
        <v>0</v>
      </c>
      <c r="M458" s="4" t="b">
        <f t="shared" si="43"/>
        <v>0</v>
      </c>
      <c r="N458" s="4" t="b">
        <f t="shared" si="44"/>
        <v>1</v>
      </c>
      <c r="O458" s="4" t="b">
        <f t="shared" si="45"/>
        <v>0</v>
      </c>
      <c r="P458" s="4" t="b">
        <f t="shared" si="46"/>
        <v>0</v>
      </c>
      <c r="Q458" s="4" t="b">
        <f t="shared" si="47"/>
        <v>0</v>
      </c>
    </row>
    <row r="459" spans="2:17" ht="15" x14ac:dyDescent="0.2">
      <c r="B459">
        <v>0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0</v>
      </c>
      <c r="L459" s="4" t="b">
        <f t="shared" si="42"/>
        <v>0</v>
      </c>
      <c r="M459" s="4" t="b">
        <f t="shared" si="43"/>
        <v>0</v>
      </c>
      <c r="N459" s="4" t="b">
        <f t="shared" si="44"/>
        <v>0</v>
      </c>
      <c r="O459" s="4" t="b">
        <f t="shared" si="45"/>
        <v>0</v>
      </c>
      <c r="P459" s="4" t="b">
        <f t="shared" si="46"/>
        <v>0</v>
      </c>
      <c r="Q459" s="4" t="b">
        <f t="shared" si="47"/>
        <v>0</v>
      </c>
    </row>
    <row r="460" spans="2:17" ht="15" x14ac:dyDescent="0.2">
      <c r="B460">
        <v>0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1</v>
      </c>
      <c r="I460">
        <v>0</v>
      </c>
      <c r="J460">
        <v>1</v>
      </c>
      <c r="L460" s="4" t="b">
        <f t="shared" si="42"/>
        <v>0</v>
      </c>
      <c r="M460" s="4" t="b">
        <f t="shared" si="43"/>
        <v>0</v>
      </c>
      <c r="N460" s="4" t="b">
        <f t="shared" si="44"/>
        <v>0</v>
      </c>
      <c r="O460" s="4" t="b">
        <f t="shared" si="45"/>
        <v>0</v>
      </c>
      <c r="P460" s="4" t="b">
        <f t="shared" si="46"/>
        <v>0</v>
      </c>
      <c r="Q460" s="4" t="b">
        <f t="shared" si="47"/>
        <v>0</v>
      </c>
    </row>
    <row r="461" spans="2:17" ht="15" x14ac:dyDescent="0.2">
      <c r="B461">
        <v>0</v>
      </c>
      <c r="C461">
        <v>0</v>
      </c>
      <c r="D461">
        <v>0</v>
      </c>
      <c r="E461">
        <v>1</v>
      </c>
      <c r="F461">
        <v>1</v>
      </c>
      <c r="G461">
        <v>0</v>
      </c>
      <c r="H461">
        <v>1</v>
      </c>
      <c r="I461">
        <v>0</v>
      </c>
      <c r="J461">
        <v>0</v>
      </c>
      <c r="L461" s="4" t="b">
        <f t="shared" si="42"/>
        <v>0</v>
      </c>
      <c r="M461" s="4" t="b">
        <f t="shared" si="43"/>
        <v>0</v>
      </c>
      <c r="N461" s="4" t="b">
        <f t="shared" si="44"/>
        <v>0</v>
      </c>
      <c r="O461" s="4" t="b">
        <f t="shared" si="45"/>
        <v>0</v>
      </c>
      <c r="P461" s="4" t="b">
        <f t="shared" si="46"/>
        <v>0</v>
      </c>
      <c r="Q461" s="4" t="b">
        <f t="shared" si="47"/>
        <v>0</v>
      </c>
    </row>
    <row r="462" spans="2:17" ht="15" x14ac:dyDescent="0.2">
      <c r="B462">
        <v>0</v>
      </c>
      <c r="C462">
        <v>0</v>
      </c>
      <c r="D462">
        <v>0</v>
      </c>
      <c r="E462">
        <v>1</v>
      </c>
      <c r="F462">
        <v>1</v>
      </c>
      <c r="G462">
        <v>0</v>
      </c>
      <c r="H462">
        <v>0</v>
      </c>
      <c r="I462">
        <v>1</v>
      </c>
      <c r="J462">
        <v>1</v>
      </c>
      <c r="L462" s="4" t="b">
        <f t="shared" si="42"/>
        <v>0</v>
      </c>
      <c r="M462" s="4" t="b">
        <f t="shared" si="43"/>
        <v>0</v>
      </c>
      <c r="N462" s="4" t="b">
        <f t="shared" si="44"/>
        <v>0</v>
      </c>
      <c r="O462" s="4" t="b">
        <f t="shared" si="45"/>
        <v>0</v>
      </c>
      <c r="P462" s="4" t="b">
        <f t="shared" si="46"/>
        <v>0</v>
      </c>
      <c r="Q462" s="4" t="b">
        <f t="shared" si="47"/>
        <v>0</v>
      </c>
    </row>
    <row r="463" spans="2:17" ht="15" x14ac:dyDescent="0.2">
      <c r="B463">
        <v>0</v>
      </c>
      <c r="C463">
        <v>0</v>
      </c>
      <c r="D463">
        <v>0</v>
      </c>
      <c r="E463">
        <v>1</v>
      </c>
      <c r="F463">
        <v>1</v>
      </c>
      <c r="G463">
        <v>0</v>
      </c>
      <c r="H463">
        <v>0</v>
      </c>
      <c r="I463">
        <v>1</v>
      </c>
      <c r="J463">
        <v>0</v>
      </c>
      <c r="L463" s="4" t="b">
        <f t="shared" si="42"/>
        <v>0</v>
      </c>
      <c r="M463" s="4" t="b">
        <f t="shared" si="43"/>
        <v>0</v>
      </c>
      <c r="N463" s="4" t="b">
        <f t="shared" si="44"/>
        <v>0</v>
      </c>
      <c r="O463" s="4" t="b">
        <f t="shared" si="45"/>
        <v>0</v>
      </c>
      <c r="P463" s="4" t="b">
        <f t="shared" si="46"/>
        <v>0</v>
      </c>
      <c r="Q463" s="4" t="b">
        <f t="shared" si="47"/>
        <v>0</v>
      </c>
    </row>
    <row r="464" spans="2:17" ht="15" x14ac:dyDescent="0.2">
      <c r="B464">
        <v>0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</v>
      </c>
      <c r="L464" s="4" t="b">
        <f t="shared" si="42"/>
        <v>0</v>
      </c>
      <c r="M464" s="4" t="b">
        <f t="shared" si="43"/>
        <v>0</v>
      </c>
      <c r="N464" s="4" t="b">
        <f t="shared" si="44"/>
        <v>0</v>
      </c>
      <c r="O464" s="4" t="b">
        <f t="shared" si="45"/>
        <v>0</v>
      </c>
      <c r="P464" s="4" t="b">
        <f t="shared" si="46"/>
        <v>0</v>
      </c>
      <c r="Q464" s="4" t="b">
        <f t="shared" si="47"/>
        <v>0</v>
      </c>
    </row>
    <row r="465" spans="2:17" ht="15" x14ac:dyDescent="0.2">
      <c r="B465">
        <v>0</v>
      </c>
      <c r="C465">
        <v>0</v>
      </c>
      <c r="D465">
        <v>0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L465" s="4" t="b">
        <f t="shared" si="42"/>
        <v>0</v>
      </c>
      <c r="M465" s="4" t="b">
        <f t="shared" si="43"/>
        <v>0</v>
      </c>
      <c r="N465" s="4" t="b">
        <f t="shared" si="44"/>
        <v>0</v>
      </c>
      <c r="O465" s="4" t="b">
        <f t="shared" si="45"/>
        <v>0</v>
      </c>
      <c r="P465" s="4" t="b">
        <f t="shared" si="46"/>
        <v>0</v>
      </c>
      <c r="Q465" s="4" t="b">
        <f t="shared" si="47"/>
        <v>0</v>
      </c>
    </row>
    <row r="466" spans="2:17" ht="15" x14ac:dyDescent="0.2">
      <c r="B466">
        <v>0</v>
      </c>
      <c r="C466">
        <v>0</v>
      </c>
      <c r="D466">
        <v>0</v>
      </c>
      <c r="E466">
        <v>1</v>
      </c>
      <c r="F466">
        <v>0</v>
      </c>
      <c r="G466">
        <v>1</v>
      </c>
      <c r="H466">
        <v>1</v>
      </c>
      <c r="I466">
        <v>1</v>
      </c>
      <c r="J466">
        <v>1</v>
      </c>
      <c r="L466" s="4" t="b">
        <f t="shared" si="42"/>
        <v>0</v>
      </c>
      <c r="M466" s="4" t="b">
        <f t="shared" si="43"/>
        <v>0</v>
      </c>
      <c r="N466" s="4" t="b">
        <f t="shared" si="44"/>
        <v>1</v>
      </c>
      <c r="O466" s="4" t="b">
        <f t="shared" si="45"/>
        <v>0</v>
      </c>
      <c r="P466" s="4" t="b">
        <f t="shared" si="46"/>
        <v>0</v>
      </c>
      <c r="Q466" s="4" t="b">
        <f t="shared" si="47"/>
        <v>0</v>
      </c>
    </row>
    <row r="467" spans="2:17" ht="15" x14ac:dyDescent="0.2">
      <c r="B467">
        <v>0</v>
      </c>
      <c r="C467">
        <v>0</v>
      </c>
      <c r="D467">
        <v>0</v>
      </c>
      <c r="E467">
        <v>1</v>
      </c>
      <c r="F467">
        <v>0</v>
      </c>
      <c r="G467">
        <v>1</v>
      </c>
      <c r="H467">
        <v>1</v>
      </c>
      <c r="I467">
        <v>1</v>
      </c>
      <c r="J467">
        <v>0</v>
      </c>
      <c r="L467" s="4" t="b">
        <f t="shared" si="42"/>
        <v>0</v>
      </c>
      <c r="M467" s="4" t="b">
        <f t="shared" si="43"/>
        <v>0</v>
      </c>
      <c r="N467" s="4" t="b">
        <f t="shared" si="44"/>
        <v>0</v>
      </c>
      <c r="O467" s="4" t="b">
        <f t="shared" si="45"/>
        <v>0</v>
      </c>
      <c r="P467" s="4" t="b">
        <f t="shared" si="46"/>
        <v>0</v>
      </c>
      <c r="Q467" s="4" t="b">
        <f t="shared" si="47"/>
        <v>0</v>
      </c>
    </row>
    <row r="468" spans="2:17" ht="15" x14ac:dyDescent="0.2">
      <c r="B468">
        <v>0</v>
      </c>
      <c r="C468">
        <v>0</v>
      </c>
      <c r="D468">
        <v>0</v>
      </c>
      <c r="E468">
        <v>1</v>
      </c>
      <c r="F468">
        <v>0</v>
      </c>
      <c r="G468">
        <v>1</v>
      </c>
      <c r="H468">
        <v>1</v>
      </c>
      <c r="I468">
        <v>0</v>
      </c>
      <c r="J468">
        <v>1</v>
      </c>
      <c r="L468" s="4" t="b">
        <f t="shared" si="42"/>
        <v>0</v>
      </c>
      <c r="M468" s="4" t="b">
        <f t="shared" si="43"/>
        <v>0</v>
      </c>
      <c r="N468" s="4" t="b">
        <f t="shared" si="44"/>
        <v>0</v>
      </c>
      <c r="O468" s="4" t="b">
        <f t="shared" si="45"/>
        <v>0</v>
      </c>
      <c r="P468" s="4" t="b">
        <f t="shared" si="46"/>
        <v>0</v>
      </c>
      <c r="Q468" s="4" t="b">
        <f t="shared" si="47"/>
        <v>0</v>
      </c>
    </row>
    <row r="469" spans="2:17" ht="15" x14ac:dyDescent="0.2"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1</v>
      </c>
      <c r="I469">
        <v>0</v>
      </c>
      <c r="J469">
        <v>0</v>
      </c>
      <c r="L469" s="4" t="b">
        <f t="shared" si="42"/>
        <v>0</v>
      </c>
      <c r="M469" s="4" t="b">
        <f t="shared" si="43"/>
        <v>0</v>
      </c>
      <c r="N469" s="4" t="b">
        <f t="shared" si="44"/>
        <v>0</v>
      </c>
      <c r="O469" s="4" t="b">
        <f t="shared" si="45"/>
        <v>0</v>
      </c>
      <c r="P469" s="4" t="b">
        <f t="shared" si="46"/>
        <v>0</v>
      </c>
      <c r="Q469" s="4" t="b">
        <f t="shared" si="47"/>
        <v>0</v>
      </c>
    </row>
    <row r="470" spans="2:17" ht="15" x14ac:dyDescent="0.2">
      <c r="B470">
        <v>0</v>
      </c>
      <c r="C470">
        <v>0</v>
      </c>
      <c r="D470">
        <v>0</v>
      </c>
      <c r="E470">
        <v>1</v>
      </c>
      <c r="F470">
        <v>0</v>
      </c>
      <c r="G470">
        <v>1</v>
      </c>
      <c r="H470">
        <v>0</v>
      </c>
      <c r="I470">
        <v>1</v>
      </c>
      <c r="J470">
        <v>1</v>
      </c>
      <c r="L470" s="4" t="b">
        <f t="shared" si="42"/>
        <v>0</v>
      </c>
      <c r="M470" s="4" t="b">
        <f t="shared" si="43"/>
        <v>0</v>
      </c>
      <c r="N470" s="4" t="b">
        <f t="shared" si="44"/>
        <v>0</v>
      </c>
      <c r="O470" s="4" t="b">
        <f t="shared" si="45"/>
        <v>0</v>
      </c>
      <c r="P470" s="4" t="b">
        <f t="shared" si="46"/>
        <v>0</v>
      </c>
      <c r="Q470" s="4" t="b">
        <f t="shared" si="47"/>
        <v>0</v>
      </c>
    </row>
    <row r="471" spans="2:17" ht="15" x14ac:dyDescent="0.2">
      <c r="B471">
        <v>0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>
        <v>1</v>
      </c>
      <c r="J471">
        <v>0</v>
      </c>
      <c r="L471" s="4" t="b">
        <f t="shared" si="42"/>
        <v>0</v>
      </c>
      <c r="M471" s="4" t="b">
        <f t="shared" si="43"/>
        <v>0</v>
      </c>
      <c r="N471" s="4" t="b">
        <f t="shared" si="44"/>
        <v>0</v>
      </c>
      <c r="O471" s="4" t="b">
        <f t="shared" si="45"/>
        <v>0</v>
      </c>
      <c r="P471" s="4" t="b">
        <f t="shared" si="46"/>
        <v>0</v>
      </c>
      <c r="Q471" s="4" t="b">
        <f t="shared" si="47"/>
        <v>0</v>
      </c>
    </row>
    <row r="472" spans="2:17" ht="15" x14ac:dyDescent="0.2">
      <c r="B472">
        <v>0</v>
      </c>
      <c r="C472">
        <v>0</v>
      </c>
      <c r="D472">
        <v>0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1</v>
      </c>
      <c r="L472" s="4" t="b">
        <f t="shared" si="42"/>
        <v>0</v>
      </c>
      <c r="M472" s="4" t="b">
        <f t="shared" si="43"/>
        <v>0</v>
      </c>
      <c r="N472" s="4" t="b">
        <f t="shared" si="44"/>
        <v>0</v>
      </c>
      <c r="O472" s="4" t="b">
        <f t="shared" si="45"/>
        <v>0</v>
      </c>
      <c r="P472" s="4" t="b">
        <f t="shared" si="46"/>
        <v>0</v>
      </c>
      <c r="Q472" s="4" t="b">
        <f t="shared" si="47"/>
        <v>0</v>
      </c>
    </row>
    <row r="473" spans="2:17" ht="15" x14ac:dyDescent="0.2">
      <c r="B473">
        <v>0</v>
      </c>
      <c r="C473">
        <v>0</v>
      </c>
      <c r="D473">
        <v>0</v>
      </c>
      <c r="E473">
        <v>1</v>
      </c>
      <c r="F473">
        <v>0</v>
      </c>
      <c r="G473">
        <v>1</v>
      </c>
      <c r="H473">
        <v>0</v>
      </c>
      <c r="I473">
        <v>0</v>
      </c>
      <c r="J473">
        <v>0</v>
      </c>
      <c r="L473" s="4" t="b">
        <f t="shared" si="42"/>
        <v>0</v>
      </c>
      <c r="M473" s="4" t="b">
        <f t="shared" si="43"/>
        <v>0</v>
      </c>
      <c r="N473" s="4" t="b">
        <f t="shared" si="44"/>
        <v>0</v>
      </c>
      <c r="O473" s="4" t="b">
        <f t="shared" si="45"/>
        <v>0</v>
      </c>
      <c r="P473" s="4" t="b">
        <f t="shared" si="46"/>
        <v>0</v>
      </c>
      <c r="Q473" s="4" t="b">
        <f t="shared" si="47"/>
        <v>0</v>
      </c>
    </row>
    <row r="474" spans="2:17" ht="15" x14ac:dyDescent="0.2"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  <c r="H474">
        <v>1</v>
      </c>
      <c r="I474">
        <v>1</v>
      </c>
      <c r="J474">
        <v>1</v>
      </c>
      <c r="L474" s="4" t="b">
        <f t="shared" si="42"/>
        <v>0</v>
      </c>
      <c r="M474" s="4" t="b">
        <f t="shared" si="43"/>
        <v>0</v>
      </c>
      <c r="N474" s="4" t="b">
        <f t="shared" si="44"/>
        <v>1</v>
      </c>
      <c r="O474" s="4" t="b">
        <f t="shared" si="45"/>
        <v>0</v>
      </c>
      <c r="P474" s="4" t="b">
        <f t="shared" si="46"/>
        <v>0</v>
      </c>
      <c r="Q474" s="4" t="b">
        <f t="shared" si="47"/>
        <v>0</v>
      </c>
    </row>
    <row r="475" spans="2:17" ht="15" x14ac:dyDescent="0.2">
      <c r="B475">
        <v>0</v>
      </c>
      <c r="C475">
        <v>0</v>
      </c>
      <c r="D475">
        <v>0</v>
      </c>
      <c r="E475">
        <v>1</v>
      </c>
      <c r="F475">
        <v>0</v>
      </c>
      <c r="G475">
        <v>0</v>
      </c>
      <c r="H475">
        <v>1</v>
      </c>
      <c r="I475">
        <v>1</v>
      </c>
      <c r="J475">
        <v>0</v>
      </c>
      <c r="L475" s="4" t="b">
        <f t="shared" si="42"/>
        <v>0</v>
      </c>
      <c r="M475" s="4" t="b">
        <f t="shared" si="43"/>
        <v>0</v>
      </c>
      <c r="N475" s="4" t="b">
        <f t="shared" si="44"/>
        <v>0</v>
      </c>
      <c r="O475" s="4" t="b">
        <f t="shared" si="45"/>
        <v>0</v>
      </c>
      <c r="P475" s="4" t="b">
        <f t="shared" si="46"/>
        <v>0</v>
      </c>
      <c r="Q475" s="4" t="b">
        <f t="shared" si="47"/>
        <v>0</v>
      </c>
    </row>
    <row r="476" spans="2:17" ht="15" x14ac:dyDescent="0.2"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1</v>
      </c>
      <c r="L476" s="4" t="b">
        <f t="shared" si="42"/>
        <v>0</v>
      </c>
      <c r="M476" s="4" t="b">
        <f t="shared" si="43"/>
        <v>0</v>
      </c>
      <c r="N476" s="4" t="b">
        <f t="shared" si="44"/>
        <v>0</v>
      </c>
      <c r="O476" s="4" t="b">
        <f t="shared" si="45"/>
        <v>0</v>
      </c>
      <c r="P476" s="4" t="b">
        <f t="shared" si="46"/>
        <v>0</v>
      </c>
      <c r="Q476" s="4" t="b">
        <f t="shared" si="47"/>
        <v>0</v>
      </c>
    </row>
    <row r="477" spans="2:17" ht="15" x14ac:dyDescent="0.2"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L477" s="4" t="b">
        <f t="shared" si="42"/>
        <v>0</v>
      </c>
      <c r="M477" s="4" t="b">
        <f t="shared" si="43"/>
        <v>0</v>
      </c>
      <c r="N477" s="4" t="b">
        <f t="shared" si="44"/>
        <v>0</v>
      </c>
      <c r="O477" s="4" t="b">
        <f t="shared" si="45"/>
        <v>0</v>
      </c>
      <c r="P477" s="4" t="b">
        <f t="shared" si="46"/>
        <v>0</v>
      </c>
      <c r="Q477" s="4" t="b">
        <f t="shared" si="47"/>
        <v>0</v>
      </c>
    </row>
    <row r="478" spans="2:17" ht="15" x14ac:dyDescent="0.2">
      <c r="B478">
        <v>0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1</v>
      </c>
      <c r="J478">
        <v>1</v>
      </c>
      <c r="L478" s="4" t="b">
        <f t="shared" si="42"/>
        <v>0</v>
      </c>
      <c r="M478" s="4" t="b">
        <f t="shared" si="43"/>
        <v>0</v>
      </c>
      <c r="N478" s="4" t="b">
        <f t="shared" si="44"/>
        <v>0</v>
      </c>
      <c r="O478" s="4" t="b">
        <f t="shared" si="45"/>
        <v>0</v>
      </c>
      <c r="P478" s="4" t="b">
        <f t="shared" si="46"/>
        <v>0</v>
      </c>
      <c r="Q478" s="4" t="b">
        <f t="shared" si="47"/>
        <v>0</v>
      </c>
    </row>
    <row r="479" spans="2:17" ht="15" x14ac:dyDescent="0.2">
      <c r="B479">
        <v>0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1</v>
      </c>
      <c r="J479">
        <v>0</v>
      </c>
      <c r="L479" s="4" t="b">
        <f t="shared" si="42"/>
        <v>0</v>
      </c>
      <c r="M479" s="4" t="b">
        <f t="shared" si="43"/>
        <v>0</v>
      </c>
      <c r="N479" s="4" t="b">
        <f t="shared" si="44"/>
        <v>0</v>
      </c>
      <c r="O479" s="4" t="b">
        <f t="shared" si="45"/>
        <v>0</v>
      </c>
      <c r="P479" s="4" t="b">
        <f t="shared" si="46"/>
        <v>0</v>
      </c>
      <c r="Q479" s="4" t="b">
        <f t="shared" si="47"/>
        <v>0</v>
      </c>
    </row>
    <row r="480" spans="2:17" ht="15" x14ac:dyDescent="0.2"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</v>
      </c>
      <c r="L480" s="4" t="b">
        <f t="shared" si="42"/>
        <v>0</v>
      </c>
      <c r="M480" s="4" t="b">
        <f t="shared" si="43"/>
        <v>0</v>
      </c>
      <c r="N480" s="4" t="b">
        <f t="shared" si="44"/>
        <v>0</v>
      </c>
      <c r="O480" s="4" t="b">
        <f t="shared" si="45"/>
        <v>0</v>
      </c>
      <c r="P480" s="4" t="b">
        <f t="shared" si="46"/>
        <v>0</v>
      </c>
      <c r="Q480" s="4" t="b">
        <f t="shared" si="47"/>
        <v>0</v>
      </c>
    </row>
    <row r="481" spans="2:17" ht="15" x14ac:dyDescent="0.2"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L481" s="4" t="b">
        <f t="shared" si="42"/>
        <v>0</v>
      </c>
      <c r="M481" s="4" t="b">
        <f t="shared" si="43"/>
        <v>0</v>
      </c>
      <c r="N481" s="4" t="b">
        <f t="shared" si="44"/>
        <v>0</v>
      </c>
      <c r="O481" s="4" t="b">
        <f t="shared" si="45"/>
        <v>0</v>
      </c>
      <c r="P481" s="4" t="b">
        <f t="shared" si="46"/>
        <v>0</v>
      </c>
      <c r="Q481" s="4" t="b">
        <f t="shared" si="47"/>
        <v>0</v>
      </c>
    </row>
    <row r="482" spans="2:17" ht="15" x14ac:dyDescent="0.2">
      <c r="B482">
        <v>0</v>
      </c>
      <c r="C482">
        <v>0</v>
      </c>
      <c r="D482">
        <v>0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1</v>
      </c>
      <c r="L482" s="4" t="b">
        <f t="shared" si="42"/>
        <v>0</v>
      </c>
      <c r="M482" s="4" t="b">
        <f t="shared" si="43"/>
        <v>0</v>
      </c>
      <c r="N482" s="4" t="b">
        <f t="shared" si="44"/>
        <v>1</v>
      </c>
      <c r="O482" s="4" t="b">
        <f t="shared" si="45"/>
        <v>0</v>
      </c>
      <c r="P482" s="4" t="b">
        <f t="shared" si="46"/>
        <v>0</v>
      </c>
      <c r="Q482" s="4" t="b">
        <f t="shared" si="47"/>
        <v>0</v>
      </c>
    </row>
    <row r="483" spans="2:17" ht="15" x14ac:dyDescent="0.2">
      <c r="B483">
        <v>0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0</v>
      </c>
      <c r="L483" s="4" t="b">
        <f t="shared" si="42"/>
        <v>0</v>
      </c>
      <c r="M483" s="4" t="b">
        <f t="shared" si="43"/>
        <v>0</v>
      </c>
      <c r="N483" s="4" t="b">
        <f t="shared" si="44"/>
        <v>0</v>
      </c>
      <c r="O483" s="4" t="b">
        <f t="shared" si="45"/>
        <v>0</v>
      </c>
      <c r="P483" s="4" t="b">
        <f t="shared" si="46"/>
        <v>0</v>
      </c>
      <c r="Q483" s="4" t="b">
        <f t="shared" si="47"/>
        <v>0</v>
      </c>
    </row>
    <row r="484" spans="2:17" ht="15" x14ac:dyDescent="0.2">
      <c r="B484">
        <v>0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1</v>
      </c>
      <c r="L484" s="4" t="b">
        <f t="shared" si="42"/>
        <v>0</v>
      </c>
      <c r="M484" s="4" t="b">
        <f t="shared" si="43"/>
        <v>0</v>
      </c>
      <c r="N484" s="4" t="b">
        <f t="shared" si="44"/>
        <v>0</v>
      </c>
      <c r="O484" s="4" t="b">
        <f t="shared" si="45"/>
        <v>0</v>
      </c>
      <c r="P484" s="4" t="b">
        <f t="shared" si="46"/>
        <v>0</v>
      </c>
      <c r="Q484" s="4" t="b">
        <f t="shared" si="47"/>
        <v>0</v>
      </c>
    </row>
    <row r="485" spans="2:17" ht="15" x14ac:dyDescent="0.2">
      <c r="B485">
        <v>0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1</v>
      </c>
      <c r="I485">
        <v>0</v>
      </c>
      <c r="J485">
        <v>0</v>
      </c>
      <c r="L485" s="4" t="b">
        <f t="shared" si="42"/>
        <v>0</v>
      </c>
      <c r="M485" s="4" t="b">
        <f t="shared" si="43"/>
        <v>0</v>
      </c>
      <c r="N485" s="4" t="b">
        <f t="shared" si="44"/>
        <v>0</v>
      </c>
      <c r="O485" s="4" t="b">
        <f t="shared" si="45"/>
        <v>0</v>
      </c>
      <c r="P485" s="4" t="b">
        <f t="shared" si="46"/>
        <v>0</v>
      </c>
      <c r="Q485" s="4" t="b">
        <f t="shared" si="47"/>
        <v>0</v>
      </c>
    </row>
    <row r="486" spans="2:17" ht="15" x14ac:dyDescent="0.2">
      <c r="B486">
        <v>0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1</v>
      </c>
      <c r="J486">
        <v>1</v>
      </c>
      <c r="L486" s="4" t="b">
        <f t="shared" si="42"/>
        <v>0</v>
      </c>
      <c r="M486" s="4" t="b">
        <f t="shared" si="43"/>
        <v>0</v>
      </c>
      <c r="N486" s="4" t="b">
        <f t="shared" si="44"/>
        <v>0</v>
      </c>
      <c r="O486" s="4" t="b">
        <f t="shared" si="45"/>
        <v>0</v>
      </c>
      <c r="P486" s="4" t="b">
        <f t="shared" si="46"/>
        <v>0</v>
      </c>
      <c r="Q486" s="4" t="b">
        <f t="shared" si="47"/>
        <v>0</v>
      </c>
    </row>
    <row r="487" spans="2:17" ht="15" x14ac:dyDescent="0.2">
      <c r="B487">
        <v>0</v>
      </c>
      <c r="C487">
        <v>0</v>
      </c>
      <c r="D487">
        <v>0</v>
      </c>
      <c r="E487">
        <v>0</v>
      </c>
      <c r="F487">
        <v>1</v>
      </c>
      <c r="G487">
        <v>1</v>
      </c>
      <c r="H487">
        <v>0</v>
      </c>
      <c r="I487">
        <v>1</v>
      </c>
      <c r="J487">
        <v>0</v>
      </c>
      <c r="L487" s="4" t="b">
        <f t="shared" si="42"/>
        <v>0</v>
      </c>
      <c r="M487" s="4" t="b">
        <f t="shared" si="43"/>
        <v>0</v>
      </c>
      <c r="N487" s="4" t="b">
        <f t="shared" si="44"/>
        <v>0</v>
      </c>
      <c r="O487" s="4" t="b">
        <f t="shared" si="45"/>
        <v>0</v>
      </c>
      <c r="P487" s="4" t="b">
        <f t="shared" si="46"/>
        <v>0</v>
      </c>
      <c r="Q487" s="4" t="b">
        <f t="shared" si="47"/>
        <v>0</v>
      </c>
    </row>
    <row r="488" spans="2:17" ht="15" x14ac:dyDescent="0.2">
      <c r="B488">
        <v>0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1</v>
      </c>
      <c r="L488" s="4" t="b">
        <f t="shared" si="42"/>
        <v>0</v>
      </c>
      <c r="M488" s="4" t="b">
        <f t="shared" si="43"/>
        <v>0</v>
      </c>
      <c r="N488" s="4" t="b">
        <f t="shared" si="44"/>
        <v>0</v>
      </c>
      <c r="O488" s="4" t="b">
        <f t="shared" si="45"/>
        <v>0</v>
      </c>
      <c r="P488" s="4" t="b">
        <f t="shared" si="46"/>
        <v>0</v>
      </c>
      <c r="Q488" s="4" t="b">
        <f t="shared" si="47"/>
        <v>0</v>
      </c>
    </row>
    <row r="489" spans="2:17" ht="15" x14ac:dyDescent="0.2">
      <c r="B489">
        <v>0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L489" s="4" t="b">
        <f t="shared" si="42"/>
        <v>0</v>
      </c>
      <c r="M489" s="4" t="b">
        <f t="shared" si="43"/>
        <v>0</v>
      </c>
      <c r="N489" s="4" t="b">
        <f t="shared" si="44"/>
        <v>0</v>
      </c>
      <c r="O489" s="4" t="b">
        <f t="shared" si="45"/>
        <v>0</v>
      </c>
      <c r="P489" s="4" t="b">
        <f t="shared" si="46"/>
        <v>0</v>
      </c>
      <c r="Q489" s="4" t="b">
        <f t="shared" si="47"/>
        <v>0</v>
      </c>
    </row>
    <row r="490" spans="2:17" ht="15" x14ac:dyDescent="0.2"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1</v>
      </c>
      <c r="J490">
        <v>1</v>
      </c>
      <c r="L490" s="4" t="b">
        <f t="shared" si="42"/>
        <v>0</v>
      </c>
      <c r="M490" s="4" t="b">
        <f t="shared" si="43"/>
        <v>0</v>
      </c>
      <c r="N490" s="4" t="b">
        <f t="shared" si="44"/>
        <v>1</v>
      </c>
      <c r="O490" s="4" t="b">
        <f t="shared" si="45"/>
        <v>0</v>
      </c>
      <c r="P490" s="4" t="b">
        <f t="shared" si="46"/>
        <v>0</v>
      </c>
      <c r="Q490" s="4" t="b">
        <f t="shared" si="47"/>
        <v>0</v>
      </c>
    </row>
    <row r="491" spans="2:17" ht="15" x14ac:dyDescent="0.2">
      <c r="B491">
        <v>0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1</v>
      </c>
      <c r="I491">
        <v>1</v>
      </c>
      <c r="J491">
        <v>0</v>
      </c>
      <c r="L491" s="4" t="b">
        <f t="shared" si="42"/>
        <v>0</v>
      </c>
      <c r="M491" s="4" t="b">
        <f t="shared" si="43"/>
        <v>0</v>
      </c>
      <c r="N491" s="4" t="b">
        <f t="shared" si="44"/>
        <v>0</v>
      </c>
      <c r="O491" s="4" t="b">
        <f t="shared" si="45"/>
        <v>0</v>
      </c>
      <c r="P491" s="4" t="b">
        <f t="shared" si="46"/>
        <v>0</v>
      </c>
      <c r="Q491" s="4" t="b">
        <f t="shared" si="47"/>
        <v>0</v>
      </c>
    </row>
    <row r="492" spans="2:17" ht="15" x14ac:dyDescent="0.2"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</v>
      </c>
      <c r="J492">
        <v>1</v>
      </c>
      <c r="L492" s="4" t="b">
        <f t="shared" si="42"/>
        <v>0</v>
      </c>
      <c r="M492" s="4" t="b">
        <f t="shared" si="43"/>
        <v>0</v>
      </c>
      <c r="N492" s="4" t="b">
        <f t="shared" si="44"/>
        <v>0</v>
      </c>
      <c r="O492" s="4" t="b">
        <f t="shared" si="45"/>
        <v>0</v>
      </c>
      <c r="P492" s="4" t="b">
        <f t="shared" si="46"/>
        <v>0</v>
      </c>
      <c r="Q492" s="4" t="b">
        <f t="shared" si="47"/>
        <v>0</v>
      </c>
    </row>
    <row r="493" spans="2:17" ht="15" x14ac:dyDescent="0.2">
      <c r="B493">
        <v>0</v>
      </c>
      <c r="C493">
        <v>0</v>
      </c>
      <c r="D493">
        <v>0</v>
      </c>
      <c r="E493">
        <v>0</v>
      </c>
      <c r="F493">
        <v>1</v>
      </c>
      <c r="G493">
        <v>0</v>
      </c>
      <c r="H493">
        <v>1</v>
      </c>
      <c r="I493">
        <v>0</v>
      </c>
      <c r="J493">
        <v>0</v>
      </c>
      <c r="L493" s="4" t="b">
        <f t="shared" si="42"/>
        <v>0</v>
      </c>
      <c r="M493" s="4" t="b">
        <f t="shared" si="43"/>
        <v>0</v>
      </c>
      <c r="N493" s="4" t="b">
        <f t="shared" si="44"/>
        <v>0</v>
      </c>
      <c r="O493" s="4" t="b">
        <f t="shared" si="45"/>
        <v>0</v>
      </c>
      <c r="P493" s="4" t="b">
        <f t="shared" si="46"/>
        <v>0</v>
      </c>
      <c r="Q493" s="4" t="b">
        <f t="shared" si="47"/>
        <v>0</v>
      </c>
    </row>
    <row r="494" spans="2:17" ht="15" x14ac:dyDescent="0.2"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1</v>
      </c>
      <c r="L494" s="4" t="b">
        <f t="shared" si="42"/>
        <v>0</v>
      </c>
      <c r="M494" s="4" t="b">
        <f t="shared" si="43"/>
        <v>0</v>
      </c>
      <c r="N494" s="4" t="b">
        <f t="shared" si="44"/>
        <v>0</v>
      </c>
      <c r="O494" s="4" t="b">
        <f t="shared" si="45"/>
        <v>0</v>
      </c>
      <c r="P494" s="4" t="b">
        <f t="shared" si="46"/>
        <v>0</v>
      </c>
      <c r="Q494" s="4" t="b">
        <f t="shared" si="47"/>
        <v>0</v>
      </c>
    </row>
    <row r="495" spans="2:17" ht="15" x14ac:dyDescent="0.2">
      <c r="B495">
        <v>0</v>
      </c>
      <c r="C495">
        <v>0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1</v>
      </c>
      <c r="J495">
        <v>0</v>
      </c>
      <c r="L495" s="4" t="b">
        <f t="shared" si="42"/>
        <v>0</v>
      </c>
      <c r="M495" s="4" t="b">
        <f t="shared" si="43"/>
        <v>0</v>
      </c>
      <c r="N495" s="4" t="b">
        <f t="shared" si="44"/>
        <v>0</v>
      </c>
      <c r="O495" s="4" t="b">
        <f t="shared" si="45"/>
        <v>0</v>
      </c>
      <c r="P495" s="4" t="b">
        <f t="shared" si="46"/>
        <v>0</v>
      </c>
      <c r="Q495" s="4" t="b">
        <f t="shared" si="47"/>
        <v>0</v>
      </c>
    </row>
    <row r="496" spans="2:17" ht="15" x14ac:dyDescent="0.2">
      <c r="B496">
        <v>0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1</v>
      </c>
      <c r="L496" s="4" t="b">
        <f t="shared" si="42"/>
        <v>0</v>
      </c>
      <c r="M496" s="4" t="b">
        <f t="shared" si="43"/>
        <v>0</v>
      </c>
      <c r="N496" s="4" t="b">
        <f t="shared" si="44"/>
        <v>0</v>
      </c>
      <c r="O496" s="4" t="b">
        <f t="shared" si="45"/>
        <v>0</v>
      </c>
      <c r="P496" s="4" t="b">
        <f t="shared" si="46"/>
        <v>0</v>
      </c>
      <c r="Q496" s="4" t="b">
        <f t="shared" si="47"/>
        <v>0</v>
      </c>
    </row>
    <row r="497" spans="2:17" ht="15" x14ac:dyDescent="0.2">
      <c r="B497">
        <v>0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L497" s="4" t="b">
        <f t="shared" si="42"/>
        <v>0</v>
      </c>
      <c r="M497" s="4" t="b">
        <f t="shared" si="43"/>
        <v>0</v>
      </c>
      <c r="N497" s="4" t="b">
        <f t="shared" si="44"/>
        <v>0</v>
      </c>
      <c r="O497" s="4" t="b">
        <f t="shared" si="45"/>
        <v>0</v>
      </c>
      <c r="P497" s="4" t="b">
        <f t="shared" si="46"/>
        <v>0</v>
      </c>
      <c r="Q497" s="4" t="b">
        <f t="shared" si="47"/>
        <v>0</v>
      </c>
    </row>
    <row r="498" spans="2:17" ht="15" x14ac:dyDescent="0.2"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1</v>
      </c>
      <c r="I498">
        <v>1</v>
      </c>
      <c r="J498">
        <v>1</v>
      </c>
      <c r="L498" s="4" t="b">
        <f t="shared" si="42"/>
        <v>0</v>
      </c>
      <c r="M498" s="4" t="b">
        <f t="shared" si="43"/>
        <v>0</v>
      </c>
      <c r="N498" s="4" t="b">
        <f t="shared" si="44"/>
        <v>1</v>
      </c>
      <c r="O498" s="4" t="b">
        <f t="shared" si="45"/>
        <v>0</v>
      </c>
      <c r="P498" s="4" t="b">
        <f t="shared" si="46"/>
        <v>0</v>
      </c>
      <c r="Q498" s="4" t="b">
        <f t="shared" si="47"/>
        <v>0</v>
      </c>
    </row>
    <row r="499" spans="2:17" ht="15" x14ac:dyDescent="0.2"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0</v>
      </c>
      <c r="L499" s="4" t="b">
        <f t="shared" si="42"/>
        <v>0</v>
      </c>
      <c r="M499" s="4" t="b">
        <f t="shared" si="43"/>
        <v>0</v>
      </c>
      <c r="N499" s="4" t="b">
        <f t="shared" si="44"/>
        <v>0</v>
      </c>
      <c r="O499" s="4" t="b">
        <f t="shared" si="45"/>
        <v>0</v>
      </c>
      <c r="P499" s="4" t="b">
        <f t="shared" si="46"/>
        <v>0</v>
      </c>
      <c r="Q499" s="4" t="b">
        <f t="shared" si="47"/>
        <v>0</v>
      </c>
    </row>
    <row r="500" spans="2:17" ht="15" x14ac:dyDescent="0.2"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0</v>
      </c>
      <c r="J500">
        <v>1</v>
      </c>
      <c r="L500" s="4" t="b">
        <f t="shared" si="42"/>
        <v>0</v>
      </c>
      <c r="M500" s="4" t="b">
        <f t="shared" si="43"/>
        <v>0</v>
      </c>
      <c r="N500" s="4" t="b">
        <f t="shared" si="44"/>
        <v>0</v>
      </c>
      <c r="O500" s="4" t="b">
        <f t="shared" si="45"/>
        <v>0</v>
      </c>
      <c r="P500" s="4" t="b">
        <f t="shared" si="46"/>
        <v>0</v>
      </c>
      <c r="Q500" s="4" t="b">
        <f t="shared" si="47"/>
        <v>0</v>
      </c>
    </row>
    <row r="501" spans="2:17" ht="15" x14ac:dyDescent="0.2"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0</v>
      </c>
      <c r="J501">
        <v>0</v>
      </c>
      <c r="L501" s="4" t="b">
        <f t="shared" si="42"/>
        <v>0</v>
      </c>
      <c r="M501" s="4" t="b">
        <f t="shared" si="43"/>
        <v>0</v>
      </c>
      <c r="N501" s="4" t="b">
        <f t="shared" si="44"/>
        <v>0</v>
      </c>
      <c r="O501" s="4" t="b">
        <f t="shared" si="45"/>
        <v>0</v>
      </c>
      <c r="P501" s="4" t="b">
        <f t="shared" si="46"/>
        <v>0</v>
      </c>
      <c r="Q501" s="4" t="b">
        <f t="shared" si="47"/>
        <v>0</v>
      </c>
    </row>
    <row r="502" spans="2:17" ht="15" x14ac:dyDescent="0.2">
      <c r="B502">
        <v>0</v>
      </c>
      <c r="C502">
        <v>0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1</v>
      </c>
      <c r="J502">
        <v>1</v>
      </c>
      <c r="L502" s="4" t="b">
        <f t="shared" si="42"/>
        <v>0</v>
      </c>
      <c r="M502" s="4" t="b">
        <f t="shared" si="43"/>
        <v>0</v>
      </c>
      <c r="N502" s="4" t="b">
        <f t="shared" si="44"/>
        <v>0</v>
      </c>
      <c r="O502" s="4" t="b">
        <f t="shared" si="45"/>
        <v>0</v>
      </c>
      <c r="P502" s="4" t="b">
        <f t="shared" si="46"/>
        <v>0</v>
      </c>
      <c r="Q502" s="4" t="b">
        <f t="shared" si="47"/>
        <v>0</v>
      </c>
    </row>
    <row r="503" spans="2:17" ht="15" x14ac:dyDescent="0.2"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</v>
      </c>
      <c r="J503">
        <v>0</v>
      </c>
      <c r="L503" s="4" t="b">
        <f t="shared" si="42"/>
        <v>0</v>
      </c>
      <c r="M503" s="4" t="b">
        <f t="shared" si="43"/>
        <v>0</v>
      </c>
      <c r="N503" s="4" t="b">
        <f t="shared" si="44"/>
        <v>0</v>
      </c>
      <c r="O503" s="4" t="b">
        <f t="shared" si="45"/>
        <v>0</v>
      </c>
      <c r="P503" s="4" t="b">
        <f t="shared" si="46"/>
        <v>0</v>
      </c>
      <c r="Q503" s="4" t="b">
        <f t="shared" si="47"/>
        <v>0</v>
      </c>
    </row>
    <row r="504" spans="2:17" ht="15" x14ac:dyDescent="0.2">
      <c r="B504">
        <v>0</v>
      </c>
      <c r="C504">
        <v>0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1</v>
      </c>
      <c r="L504" s="4" t="b">
        <f t="shared" si="42"/>
        <v>0</v>
      </c>
      <c r="M504" s="4" t="b">
        <f t="shared" si="43"/>
        <v>0</v>
      </c>
      <c r="N504" s="4" t="b">
        <f t="shared" si="44"/>
        <v>0</v>
      </c>
      <c r="O504" s="4" t="b">
        <f t="shared" si="45"/>
        <v>0</v>
      </c>
      <c r="P504" s="4" t="b">
        <f t="shared" si="46"/>
        <v>0</v>
      </c>
      <c r="Q504" s="4" t="b">
        <f t="shared" si="47"/>
        <v>0</v>
      </c>
    </row>
    <row r="505" spans="2:17" ht="15" x14ac:dyDescent="0.2"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L505" s="4" t="b">
        <f t="shared" si="42"/>
        <v>0</v>
      </c>
      <c r="M505" s="4" t="b">
        <f t="shared" si="43"/>
        <v>0</v>
      </c>
      <c r="N505" s="4" t="b">
        <f t="shared" si="44"/>
        <v>0</v>
      </c>
      <c r="O505" s="4" t="b">
        <f t="shared" si="45"/>
        <v>0</v>
      </c>
      <c r="P505" s="4" t="b">
        <f t="shared" si="46"/>
        <v>0</v>
      </c>
      <c r="Q505" s="4" t="b">
        <f t="shared" si="47"/>
        <v>0</v>
      </c>
    </row>
    <row r="506" spans="2:17" ht="15" x14ac:dyDescent="0.2"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L506" s="4" t="b">
        <f t="shared" si="42"/>
        <v>0</v>
      </c>
      <c r="M506" s="4" t="b">
        <f t="shared" si="43"/>
        <v>0</v>
      </c>
      <c r="N506" s="4" t="b">
        <f t="shared" si="44"/>
        <v>1</v>
      </c>
      <c r="O506" s="4" t="b">
        <f t="shared" si="45"/>
        <v>0</v>
      </c>
      <c r="P506" s="4" t="b">
        <f t="shared" si="46"/>
        <v>0</v>
      </c>
      <c r="Q506" s="4" t="b">
        <f t="shared" si="47"/>
        <v>0</v>
      </c>
    </row>
    <row r="507" spans="2:17" ht="15" x14ac:dyDescent="0.2"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0</v>
      </c>
      <c r="L507" s="4" t="b">
        <f t="shared" si="42"/>
        <v>0</v>
      </c>
      <c r="M507" s="4" t="b">
        <f t="shared" si="43"/>
        <v>0</v>
      </c>
      <c r="N507" s="4" t="b">
        <f t="shared" si="44"/>
        <v>0</v>
      </c>
      <c r="O507" s="4" t="b">
        <f t="shared" si="45"/>
        <v>0</v>
      </c>
      <c r="P507" s="4" t="b">
        <f t="shared" si="46"/>
        <v>0</v>
      </c>
      <c r="Q507" s="4" t="b">
        <f t="shared" si="47"/>
        <v>0</v>
      </c>
    </row>
    <row r="508" spans="2:17" ht="15" x14ac:dyDescent="0.2"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1</v>
      </c>
      <c r="L508" s="4" t="b">
        <f t="shared" si="42"/>
        <v>0</v>
      </c>
      <c r="M508" s="4" t="b">
        <f t="shared" si="43"/>
        <v>0</v>
      </c>
      <c r="N508" s="4" t="b">
        <f t="shared" si="44"/>
        <v>0</v>
      </c>
      <c r="O508" s="4" t="b">
        <f t="shared" si="45"/>
        <v>0</v>
      </c>
      <c r="P508" s="4" t="b">
        <f t="shared" si="46"/>
        <v>0</v>
      </c>
      <c r="Q508" s="4" t="b">
        <f t="shared" si="47"/>
        <v>0</v>
      </c>
    </row>
    <row r="509" spans="2:17" ht="15" x14ac:dyDescent="0.2"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L509" s="4" t="b">
        <f t="shared" si="42"/>
        <v>0</v>
      </c>
      <c r="M509" s="4" t="b">
        <f t="shared" si="43"/>
        <v>0</v>
      </c>
      <c r="N509" s="4" t="b">
        <f t="shared" si="44"/>
        <v>0</v>
      </c>
      <c r="O509" s="4" t="b">
        <f t="shared" si="45"/>
        <v>0</v>
      </c>
      <c r="P509" s="4" t="b">
        <f t="shared" si="46"/>
        <v>0</v>
      </c>
      <c r="Q509" s="4" t="b">
        <f t="shared" si="47"/>
        <v>0</v>
      </c>
    </row>
    <row r="510" spans="2:17" ht="15" x14ac:dyDescent="0.2"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1</v>
      </c>
      <c r="L510" s="4" t="b">
        <f t="shared" si="42"/>
        <v>0</v>
      </c>
      <c r="M510" s="4" t="b">
        <f t="shared" si="43"/>
        <v>0</v>
      </c>
      <c r="N510" s="4" t="b">
        <f t="shared" si="44"/>
        <v>0</v>
      </c>
      <c r="O510" s="4" t="b">
        <f t="shared" si="45"/>
        <v>0</v>
      </c>
      <c r="P510" s="4" t="b">
        <f t="shared" si="46"/>
        <v>0</v>
      </c>
      <c r="Q510" s="4" t="b">
        <f t="shared" si="47"/>
        <v>0</v>
      </c>
    </row>
    <row r="511" spans="2:17" ht="15" x14ac:dyDescent="0.2"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L511" s="4" t="b">
        <f t="shared" si="42"/>
        <v>0</v>
      </c>
      <c r="M511" s="4" t="b">
        <f t="shared" si="43"/>
        <v>0</v>
      </c>
      <c r="N511" s="4" t="b">
        <f t="shared" si="44"/>
        <v>0</v>
      </c>
      <c r="O511" s="4" t="b">
        <f t="shared" si="45"/>
        <v>0</v>
      </c>
      <c r="P511" s="4" t="b">
        <f t="shared" si="46"/>
        <v>0</v>
      </c>
      <c r="Q511" s="4" t="b">
        <f t="shared" si="47"/>
        <v>0</v>
      </c>
    </row>
    <row r="512" spans="2:17" ht="15" x14ac:dyDescent="0.2"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L512" s="4" t="b">
        <f t="shared" si="42"/>
        <v>0</v>
      </c>
      <c r="M512" s="4" t="b">
        <f t="shared" si="43"/>
        <v>0</v>
      </c>
      <c r="N512" s="4" t="b">
        <f t="shared" si="44"/>
        <v>0</v>
      </c>
      <c r="O512" s="4" t="b">
        <f t="shared" si="45"/>
        <v>0</v>
      </c>
      <c r="P512" s="4" t="b">
        <f t="shared" si="46"/>
        <v>0</v>
      </c>
      <c r="Q512" s="4" t="b">
        <f t="shared" si="47"/>
        <v>0</v>
      </c>
    </row>
    <row r="513" spans="2:17" ht="15" x14ac:dyDescent="0.2"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L513" s="4" t="b">
        <f t="shared" si="42"/>
        <v>0</v>
      </c>
      <c r="M513" s="4" t="b">
        <f t="shared" si="43"/>
        <v>0</v>
      </c>
      <c r="N513" s="4" t="b">
        <f t="shared" si="44"/>
        <v>0</v>
      </c>
      <c r="O513" s="4" t="b">
        <f t="shared" si="45"/>
        <v>0</v>
      </c>
      <c r="P513" s="4" t="b">
        <f t="shared" si="46"/>
        <v>0</v>
      </c>
      <c r="Q513" s="4" t="b">
        <f t="shared" si="47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C308-92CF-493E-9137-55C4580AA136}">
  <sheetPr filterMode="1"/>
  <dimension ref="A1:W513"/>
  <sheetViews>
    <sheetView workbookViewId="0">
      <selection activeCell="R2" sqref="R2"/>
    </sheetView>
  </sheetViews>
  <sheetFormatPr defaultRowHeight="14.25" x14ac:dyDescent="0.2"/>
  <cols>
    <col min="7" max="7" width="9" customWidth="1"/>
    <col min="17" max="17" width="17.375" bestFit="1" customWidth="1"/>
    <col min="18" max="18" width="17" bestFit="1" customWidth="1"/>
    <col min="19" max="19" width="9.5" bestFit="1" customWidth="1"/>
  </cols>
  <sheetData>
    <row r="1" spans="1:23" ht="16.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 s="5" t="s">
        <v>37</v>
      </c>
      <c r="R1" s="3" t="s">
        <v>38</v>
      </c>
      <c r="S1">
        <v>10</v>
      </c>
      <c r="T1">
        <v>11</v>
      </c>
      <c r="U1">
        <v>12</v>
      </c>
      <c r="V1">
        <v>13</v>
      </c>
      <c r="W1">
        <v>14</v>
      </c>
    </row>
    <row r="2" spans="1:23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H2">
        <f t="shared" ref="H2:H51" si="0">IF(OR(A2=1,D2=1),1,0)</f>
        <v>0</v>
      </c>
      <c r="I2">
        <f t="shared" ref="I2:I51" si="1">IF(OR(B2=1,D2=1),1,0)</f>
        <v>0</v>
      </c>
      <c r="J2">
        <f t="shared" ref="J2:J51" si="2">IF(OR(C2=1,D2=1),1,0)</f>
        <v>0</v>
      </c>
      <c r="K2">
        <f t="shared" ref="K2:K51" si="3">IF(OR(A2=1,E2=1),1,0)</f>
        <v>0</v>
      </c>
      <c r="L2">
        <f t="shared" ref="L2:L51" si="4">IF(OR(B2=1,E2=1),1,0)</f>
        <v>0</v>
      </c>
      <c r="M2">
        <f t="shared" ref="M2:M51" si="5">IF(OR(C2=1,E2=1),1,0)</f>
        <v>0</v>
      </c>
      <c r="N2">
        <f t="shared" ref="N2:N51" si="6">IF(OR(A2=1,F2=1),1,0)</f>
        <v>0</v>
      </c>
      <c r="O2">
        <f t="shared" ref="O2:O51" si="7">IF(OR(B2=1,F2=1),1,0)</f>
        <v>0</v>
      </c>
      <c r="P2">
        <f t="shared" ref="P2:P51" si="8">IF(OR(C2=1,F2=1),1,0)</f>
        <v>0</v>
      </c>
      <c r="Q2">
        <f t="shared" ref="Q2:Q51" si="9">SUM(H2:P2)</f>
        <v>0</v>
      </c>
      <c r="R2">
        <f t="shared" ref="R2:R51" si="10">SUM(A2:F2)</f>
        <v>0</v>
      </c>
      <c r="S2">
        <f>COMBIN(30,S$1-$Q2)</f>
        <v>30045015</v>
      </c>
      <c r="T2">
        <f t="shared" ref="T2:W2" si="11">COMBIN(30,T$1-$Q2)</f>
        <v>54627299.999999978</v>
      </c>
      <c r="U2">
        <f t="shared" si="11"/>
        <v>86493225.000000015</v>
      </c>
      <c r="V2">
        <f t="shared" si="11"/>
        <v>119759850</v>
      </c>
      <c r="W2">
        <f t="shared" si="11"/>
        <v>145422675</v>
      </c>
    </row>
    <row r="3" spans="1:23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H3">
        <f t="shared" si="0"/>
        <v>1</v>
      </c>
      <c r="I3">
        <f t="shared" si="1"/>
        <v>0</v>
      </c>
      <c r="J3">
        <f t="shared" si="2"/>
        <v>0</v>
      </c>
      <c r="K3">
        <f t="shared" si="3"/>
        <v>1</v>
      </c>
      <c r="L3">
        <f t="shared" si="4"/>
        <v>0</v>
      </c>
      <c r="M3">
        <f t="shared" si="5"/>
        <v>0</v>
      </c>
      <c r="N3">
        <f t="shared" si="6"/>
        <v>1</v>
      </c>
      <c r="O3">
        <f t="shared" si="7"/>
        <v>0</v>
      </c>
      <c r="P3">
        <f t="shared" si="8"/>
        <v>0</v>
      </c>
      <c r="Q3">
        <f t="shared" si="9"/>
        <v>3</v>
      </c>
      <c r="R3">
        <f t="shared" si="10"/>
        <v>1</v>
      </c>
      <c r="S3">
        <f>COMBIN(30-$Q3,S$1-$Q3)</f>
        <v>888030</v>
      </c>
      <c r="T3">
        <f t="shared" ref="T3:W18" si="12">COMBIN(30-$Q3,T$1-$Q3)</f>
        <v>2220074.9999999995</v>
      </c>
      <c r="U3">
        <f t="shared" si="12"/>
        <v>4686825.0000000009</v>
      </c>
      <c r="V3">
        <f t="shared" si="12"/>
        <v>8436285</v>
      </c>
      <c r="W3">
        <f t="shared" si="12"/>
        <v>13037895</v>
      </c>
    </row>
    <row r="4" spans="1:23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H4">
        <f t="shared" si="0"/>
        <v>0</v>
      </c>
      <c r="I4">
        <f t="shared" si="1"/>
        <v>1</v>
      </c>
      <c r="J4">
        <f t="shared" si="2"/>
        <v>0</v>
      </c>
      <c r="K4">
        <f t="shared" si="3"/>
        <v>0</v>
      </c>
      <c r="L4">
        <f t="shared" si="4"/>
        <v>1</v>
      </c>
      <c r="M4">
        <f t="shared" si="5"/>
        <v>0</v>
      </c>
      <c r="N4">
        <f t="shared" si="6"/>
        <v>0</v>
      </c>
      <c r="O4">
        <f t="shared" si="7"/>
        <v>1</v>
      </c>
      <c r="P4">
        <f t="shared" si="8"/>
        <v>0</v>
      </c>
      <c r="Q4">
        <f t="shared" si="9"/>
        <v>3</v>
      </c>
      <c r="R4">
        <f t="shared" si="10"/>
        <v>1</v>
      </c>
      <c r="S4">
        <f t="shared" ref="S4:W51" si="13">COMBIN(30-$Q4,S$1-$Q4)</f>
        <v>888030</v>
      </c>
      <c r="T4">
        <f t="shared" si="12"/>
        <v>2220074.9999999995</v>
      </c>
      <c r="U4">
        <f t="shared" si="12"/>
        <v>4686825.0000000009</v>
      </c>
      <c r="V4">
        <f t="shared" si="12"/>
        <v>8436285</v>
      </c>
      <c r="W4">
        <f t="shared" si="12"/>
        <v>13037895</v>
      </c>
    </row>
    <row r="5" spans="1:23" x14ac:dyDescent="0.2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H5">
        <f t="shared" si="0"/>
        <v>1</v>
      </c>
      <c r="I5">
        <f t="shared" si="1"/>
        <v>1</v>
      </c>
      <c r="J5">
        <f t="shared" si="2"/>
        <v>1</v>
      </c>
      <c r="K5">
        <f t="shared" si="3"/>
        <v>0</v>
      </c>
      <c r="L5">
        <f t="shared" si="4"/>
        <v>0</v>
      </c>
      <c r="M5">
        <f t="shared" si="5"/>
        <v>0</v>
      </c>
      <c r="N5">
        <f t="shared" si="6"/>
        <v>0</v>
      </c>
      <c r="O5">
        <f t="shared" si="7"/>
        <v>0</v>
      </c>
      <c r="P5">
        <f t="shared" si="8"/>
        <v>0</v>
      </c>
      <c r="Q5">
        <f t="shared" si="9"/>
        <v>3</v>
      </c>
      <c r="R5">
        <f t="shared" si="10"/>
        <v>1</v>
      </c>
      <c r="S5">
        <f t="shared" si="13"/>
        <v>888030</v>
      </c>
      <c r="T5">
        <f t="shared" si="12"/>
        <v>2220074.9999999995</v>
      </c>
      <c r="U5">
        <f t="shared" si="12"/>
        <v>4686825.0000000009</v>
      </c>
      <c r="V5">
        <f t="shared" si="12"/>
        <v>8436285</v>
      </c>
      <c r="W5">
        <f t="shared" si="12"/>
        <v>13037895</v>
      </c>
    </row>
    <row r="6" spans="1:23" x14ac:dyDescent="0.2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1</v>
      </c>
      <c r="L6">
        <f t="shared" si="4"/>
        <v>1</v>
      </c>
      <c r="M6">
        <f t="shared" si="5"/>
        <v>1</v>
      </c>
      <c r="N6">
        <f t="shared" si="6"/>
        <v>0</v>
      </c>
      <c r="O6">
        <f t="shared" si="7"/>
        <v>0</v>
      </c>
      <c r="P6">
        <f t="shared" si="8"/>
        <v>0</v>
      </c>
      <c r="Q6">
        <f t="shared" si="9"/>
        <v>3</v>
      </c>
      <c r="R6">
        <f t="shared" si="10"/>
        <v>1</v>
      </c>
      <c r="S6">
        <f t="shared" si="13"/>
        <v>888030</v>
      </c>
      <c r="T6">
        <f t="shared" si="12"/>
        <v>2220074.9999999995</v>
      </c>
      <c r="U6">
        <f t="shared" si="12"/>
        <v>4686825.0000000009</v>
      </c>
      <c r="V6">
        <f t="shared" si="12"/>
        <v>8436285</v>
      </c>
      <c r="W6">
        <f t="shared" si="12"/>
        <v>13037895</v>
      </c>
    </row>
    <row r="7" spans="1:23" x14ac:dyDescent="0.2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H7">
        <f t="shared" si="0"/>
        <v>0</v>
      </c>
      <c r="I7">
        <f t="shared" si="1"/>
        <v>0</v>
      </c>
      <c r="J7">
        <f t="shared" si="2"/>
        <v>1</v>
      </c>
      <c r="K7">
        <f t="shared" si="3"/>
        <v>0</v>
      </c>
      <c r="L7">
        <f t="shared" si="4"/>
        <v>0</v>
      </c>
      <c r="M7">
        <f t="shared" si="5"/>
        <v>1</v>
      </c>
      <c r="N7">
        <f t="shared" si="6"/>
        <v>0</v>
      </c>
      <c r="O7">
        <f t="shared" si="7"/>
        <v>0</v>
      </c>
      <c r="P7">
        <f t="shared" si="8"/>
        <v>1</v>
      </c>
      <c r="Q7">
        <f t="shared" si="9"/>
        <v>3</v>
      </c>
      <c r="R7">
        <f t="shared" si="10"/>
        <v>1</v>
      </c>
      <c r="S7">
        <f t="shared" si="13"/>
        <v>888030</v>
      </c>
      <c r="T7">
        <f t="shared" si="12"/>
        <v>2220074.9999999995</v>
      </c>
      <c r="U7">
        <f t="shared" si="12"/>
        <v>4686825.0000000009</v>
      </c>
      <c r="V7">
        <f t="shared" si="12"/>
        <v>8436285</v>
      </c>
      <c r="W7">
        <f t="shared" si="12"/>
        <v>13037895</v>
      </c>
    </row>
    <row r="8" spans="1:23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1</v>
      </c>
      <c r="O8">
        <f t="shared" si="7"/>
        <v>1</v>
      </c>
      <c r="P8">
        <f t="shared" si="8"/>
        <v>1</v>
      </c>
      <c r="Q8">
        <f t="shared" si="9"/>
        <v>3</v>
      </c>
      <c r="R8">
        <f t="shared" si="10"/>
        <v>1</v>
      </c>
      <c r="S8">
        <f t="shared" si="13"/>
        <v>888030</v>
      </c>
      <c r="T8">
        <f t="shared" si="12"/>
        <v>2220074.9999999995</v>
      </c>
      <c r="U8">
        <f t="shared" si="12"/>
        <v>4686825.0000000009</v>
      </c>
      <c r="V8">
        <f t="shared" si="12"/>
        <v>8436285</v>
      </c>
      <c r="W8">
        <f t="shared" si="12"/>
        <v>13037895</v>
      </c>
    </row>
    <row r="9" spans="1:23" x14ac:dyDescent="0.2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H9">
        <f t="shared" si="0"/>
        <v>1</v>
      </c>
      <c r="I9">
        <f t="shared" si="1"/>
        <v>1</v>
      </c>
      <c r="J9">
        <f t="shared" si="2"/>
        <v>1</v>
      </c>
      <c r="K9">
        <f t="shared" si="3"/>
        <v>1</v>
      </c>
      <c r="L9">
        <f t="shared" si="4"/>
        <v>0</v>
      </c>
      <c r="M9">
        <f t="shared" si="5"/>
        <v>0</v>
      </c>
      <c r="N9">
        <f t="shared" si="6"/>
        <v>1</v>
      </c>
      <c r="O9">
        <f t="shared" si="7"/>
        <v>0</v>
      </c>
      <c r="P9">
        <f t="shared" si="8"/>
        <v>0</v>
      </c>
      <c r="Q9">
        <f t="shared" si="9"/>
        <v>5</v>
      </c>
      <c r="R9">
        <f t="shared" si="10"/>
        <v>2</v>
      </c>
      <c r="S9">
        <f t="shared" si="13"/>
        <v>53129.999999999993</v>
      </c>
      <c r="T9">
        <f t="shared" si="12"/>
        <v>177099.99999999997</v>
      </c>
      <c r="U9">
        <f t="shared" si="12"/>
        <v>480700.00000000012</v>
      </c>
      <c r="V9">
        <f t="shared" si="12"/>
        <v>1081575</v>
      </c>
      <c r="W9">
        <f t="shared" si="12"/>
        <v>2042975</v>
      </c>
    </row>
    <row r="10" spans="1:23" x14ac:dyDescent="0.2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H10">
        <f t="shared" si="0"/>
        <v>1</v>
      </c>
      <c r="I10">
        <f t="shared" si="1"/>
        <v>0</v>
      </c>
      <c r="J10">
        <f t="shared" si="2"/>
        <v>0</v>
      </c>
      <c r="K10">
        <f t="shared" si="3"/>
        <v>1</v>
      </c>
      <c r="L10">
        <f t="shared" si="4"/>
        <v>1</v>
      </c>
      <c r="M10">
        <f t="shared" si="5"/>
        <v>1</v>
      </c>
      <c r="N10">
        <f t="shared" si="6"/>
        <v>1</v>
      </c>
      <c r="O10">
        <f t="shared" si="7"/>
        <v>0</v>
      </c>
      <c r="P10">
        <f t="shared" si="8"/>
        <v>0</v>
      </c>
      <c r="Q10">
        <f t="shared" si="9"/>
        <v>5</v>
      </c>
      <c r="R10">
        <f t="shared" si="10"/>
        <v>2</v>
      </c>
      <c r="S10">
        <f t="shared" si="13"/>
        <v>53129.999999999993</v>
      </c>
      <c r="T10">
        <f t="shared" si="12"/>
        <v>177099.99999999997</v>
      </c>
      <c r="U10">
        <f t="shared" si="12"/>
        <v>480700.00000000012</v>
      </c>
      <c r="V10">
        <f t="shared" si="12"/>
        <v>1081575</v>
      </c>
      <c r="W10">
        <f t="shared" si="12"/>
        <v>2042975</v>
      </c>
    </row>
    <row r="11" spans="1:23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1</v>
      </c>
      <c r="H11">
        <f t="shared" si="0"/>
        <v>1</v>
      </c>
      <c r="I11">
        <f t="shared" si="1"/>
        <v>0</v>
      </c>
      <c r="J11">
        <f t="shared" si="2"/>
        <v>0</v>
      </c>
      <c r="K11">
        <f t="shared" si="3"/>
        <v>1</v>
      </c>
      <c r="L11">
        <f t="shared" si="4"/>
        <v>0</v>
      </c>
      <c r="M11">
        <f t="shared" si="5"/>
        <v>0</v>
      </c>
      <c r="N11">
        <f t="shared" si="6"/>
        <v>1</v>
      </c>
      <c r="O11">
        <f t="shared" si="7"/>
        <v>1</v>
      </c>
      <c r="P11">
        <f t="shared" si="8"/>
        <v>1</v>
      </c>
      <c r="Q11">
        <f t="shared" si="9"/>
        <v>5</v>
      </c>
      <c r="R11">
        <f t="shared" si="10"/>
        <v>2</v>
      </c>
      <c r="S11">
        <f t="shared" si="13"/>
        <v>53129.999999999993</v>
      </c>
      <c r="T11">
        <f t="shared" si="12"/>
        <v>177099.99999999997</v>
      </c>
      <c r="U11">
        <f t="shared" si="12"/>
        <v>480700.00000000012</v>
      </c>
      <c r="V11">
        <f t="shared" si="12"/>
        <v>1081575</v>
      </c>
      <c r="W11">
        <f t="shared" si="12"/>
        <v>2042975</v>
      </c>
    </row>
    <row r="12" spans="1:23" x14ac:dyDescent="0.2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H12">
        <f t="shared" si="0"/>
        <v>1</v>
      </c>
      <c r="I12">
        <f t="shared" si="1"/>
        <v>1</v>
      </c>
      <c r="J12">
        <f t="shared" si="2"/>
        <v>1</v>
      </c>
      <c r="K12">
        <f t="shared" si="3"/>
        <v>0</v>
      </c>
      <c r="L12">
        <f t="shared" si="4"/>
        <v>1</v>
      </c>
      <c r="M12">
        <f t="shared" si="5"/>
        <v>0</v>
      </c>
      <c r="N12">
        <f t="shared" si="6"/>
        <v>0</v>
      </c>
      <c r="O12">
        <f t="shared" si="7"/>
        <v>1</v>
      </c>
      <c r="P12">
        <f t="shared" si="8"/>
        <v>0</v>
      </c>
      <c r="Q12">
        <f t="shared" si="9"/>
        <v>5</v>
      </c>
      <c r="R12">
        <f t="shared" si="10"/>
        <v>2</v>
      </c>
      <c r="S12">
        <f t="shared" si="13"/>
        <v>53129.999999999993</v>
      </c>
      <c r="T12">
        <f t="shared" si="12"/>
        <v>177099.99999999997</v>
      </c>
      <c r="U12">
        <f t="shared" si="12"/>
        <v>480700.00000000012</v>
      </c>
      <c r="V12">
        <f t="shared" si="12"/>
        <v>1081575</v>
      </c>
      <c r="W12">
        <f t="shared" si="12"/>
        <v>2042975</v>
      </c>
    </row>
    <row r="13" spans="1:23" x14ac:dyDescent="0.2">
      <c r="A13">
        <v>0</v>
      </c>
      <c r="B13">
        <v>1</v>
      </c>
      <c r="C13">
        <v>0</v>
      </c>
      <c r="D13">
        <v>0</v>
      </c>
      <c r="E13">
        <v>1</v>
      </c>
      <c r="F13">
        <v>0</v>
      </c>
      <c r="H13">
        <f t="shared" si="0"/>
        <v>0</v>
      </c>
      <c r="I13">
        <f t="shared" si="1"/>
        <v>1</v>
      </c>
      <c r="J13">
        <f t="shared" si="2"/>
        <v>0</v>
      </c>
      <c r="K13">
        <f t="shared" si="3"/>
        <v>1</v>
      </c>
      <c r="L13">
        <f t="shared" si="4"/>
        <v>1</v>
      </c>
      <c r="M13">
        <f t="shared" si="5"/>
        <v>1</v>
      </c>
      <c r="N13">
        <f t="shared" si="6"/>
        <v>0</v>
      </c>
      <c r="O13">
        <f t="shared" si="7"/>
        <v>1</v>
      </c>
      <c r="P13">
        <f t="shared" si="8"/>
        <v>0</v>
      </c>
      <c r="Q13">
        <f t="shared" si="9"/>
        <v>5</v>
      </c>
      <c r="R13">
        <f t="shared" si="10"/>
        <v>2</v>
      </c>
      <c r="S13">
        <f t="shared" si="13"/>
        <v>53129.999999999993</v>
      </c>
      <c r="T13">
        <f t="shared" si="12"/>
        <v>177099.99999999997</v>
      </c>
      <c r="U13">
        <f t="shared" si="12"/>
        <v>480700.00000000012</v>
      </c>
      <c r="V13">
        <f t="shared" si="12"/>
        <v>1081575</v>
      </c>
      <c r="W13">
        <f t="shared" si="12"/>
        <v>2042975</v>
      </c>
    </row>
    <row r="14" spans="1:23" x14ac:dyDescent="0.2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H14">
        <f t="shared" si="0"/>
        <v>1</v>
      </c>
      <c r="I14">
        <f t="shared" si="1"/>
        <v>1</v>
      </c>
      <c r="J14">
        <f t="shared" si="2"/>
        <v>1</v>
      </c>
      <c r="K14">
        <f t="shared" si="3"/>
        <v>0</v>
      </c>
      <c r="L14">
        <f t="shared" si="4"/>
        <v>0</v>
      </c>
      <c r="M14">
        <f t="shared" si="5"/>
        <v>1</v>
      </c>
      <c r="N14">
        <f t="shared" si="6"/>
        <v>0</v>
      </c>
      <c r="O14">
        <f t="shared" si="7"/>
        <v>0</v>
      </c>
      <c r="P14">
        <f t="shared" si="8"/>
        <v>1</v>
      </c>
      <c r="Q14">
        <f t="shared" si="9"/>
        <v>5</v>
      </c>
      <c r="R14">
        <f t="shared" si="10"/>
        <v>2</v>
      </c>
      <c r="S14">
        <f t="shared" si="13"/>
        <v>53129.999999999993</v>
      </c>
      <c r="T14">
        <f t="shared" si="12"/>
        <v>177099.99999999997</v>
      </c>
      <c r="U14">
        <f t="shared" si="12"/>
        <v>480700.00000000012</v>
      </c>
      <c r="V14">
        <f t="shared" si="12"/>
        <v>1081575</v>
      </c>
      <c r="W14">
        <f t="shared" si="12"/>
        <v>2042975</v>
      </c>
    </row>
    <row r="15" spans="1:23" x14ac:dyDescent="0.2">
      <c r="A15">
        <v>0</v>
      </c>
      <c r="B15">
        <v>0</v>
      </c>
      <c r="C15">
        <v>1</v>
      </c>
      <c r="D15">
        <v>0</v>
      </c>
      <c r="E15">
        <v>1</v>
      </c>
      <c r="F15">
        <v>0</v>
      </c>
      <c r="H15">
        <f t="shared" si="0"/>
        <v>0</v>
      </c>
      <c r="I15">
        <f t="shared" si="1"/>
        <v>0</v>
      </c>
      <c r="J15">
        <f t="shared" si="2"/>
        <v>1</v>
      </c>
      <c r="K15">
        <f t="shared" si="3"/>
        <v>1</v>
      </c>
      <c r="L15">
        <f t="shared" si="4"/>
        <v>1</v>
      </c>
      <c r="M15">
        <f t="shared" si="5"/>
        <v>1</v>
      </c>
      <c r="N15">
        <f t="shared" si="6"/>
        <v>0</v>
      </c>
      <c r="O15">
        <f t="shared" si="7"/>
        <v>0</v>
      </c>
      <c r="P15">
        <f t="shared" si="8"/>
        <v>1</v>
      </c>
      <c r="Q15">
        <f t="shared" si="9"/>
        <v>5</v>
      </c>
      <c r="R15">
        <f t="shared" si="10"/>
        <v>2</v>
      </c>
      <c r="S15">
        <f t="shared" si="13"/>
        <v>53129.999999999993</v>
      </c>
      <c r="T15">
        <f t="shared" si="12"/>
        <v>177099.99999999997</v>
      </c>
      <c r="U15">
        <f t="shared" si="12"/>
        <v>480700.00000000012</v>
      </c>
      <c r="V15">
        <f t="shared" si="12"/>
        <v>1081575</v>
      </c>
      <c r="W15">
        <f t="shared" si="12"/>
        <v>2042975</v>
      </c>
    </row>
    <row r="16" spans="1:23" x14ac:dyDescent="0.2">
      <c r="A16">
        <v>0</v>
      </c>
      <c r="B16">
        <v>1</v>
      </c>
      <c r="C16">
        <v>0</v>
      </c>
      <c r="D16">
        <v>0</v>
      </c>
      <c r="E16">
        <v>0</v>
      </c>
      <c r="F16">
        <v>1</v>
      </c>
      <c r="H16">
        <f t="shared" si="0"/>
        <v>0</v>
      </c>
      <c r="I16">
        <f t="shared" si="1"/>
        <v>1</v>
      </c>
      <c r="J16">
        <f t="shared" si="2"/>
        <v>0</v>
      </c>
      <c r="K16">
        <f t="shared" si="3"/>
        <v>0</v>
      </c>
      <c r="L16">
        <f t="shared" si="4"/>
        <v>1</v>
      </c>
      <c r="M16">
        <f t="shared" si="5"/>
        <v>0</v>
      </c>
      <c r="N16">
        <f t="shared" si="6"/>
        <v>1</v>
      </c>
      <c r="O16">
        <f t="shared" si="7"/>
        <v>1</v>
      </c>
      <c r="P16">
        <f t="shared" si="8"/>
        <v>1</v>
      </c>
      <c r="Q16">
        <f t="shared" si="9"/>
        <v>5</v>
      </c>
      <c r="R16">
        <f t="shared" si="10"/>
        <v>2</v>
      </c>
      <c r="S16">
        <f t="shared" si="13"/>
        <v>53129.999999999993</v>
      </c>
      <c r="T16">
        <f t="shared" si="12"/>
        <v>177099.99999999997</v>
      </c>
      <c r="U16">
        <f t="shared" si="12"/>
        <v>480700.00000000012</v>
      </c>
      <c r="V16">
        <f t="shared" si="12"/>
        <v>1081575</v>
      </c>
      <c r="W16">
        <f t="shared" si="12"/>
        <v>2042975</v>
      </c>
    </row>
    <row r="17" spans="1:23" x14ac:dyDescent="0.2">
      <c r="A17">
        <v>0</v>
      </c>
      <c r="B17">
        <v>0</v>
      </c>
      <c r="C17">
        <v>1</v>
      </c>
      <c r="D17">
        <v>0</v>
      </c>
      <c r="E17">
        <v>0</v>
      </c>
      <c r="F17">
        <v>1</v>
      </c>
      <c r="H17">
        <f t="shared" si="0"/>
        <v>0</v>
      </c>
      <c r="I17">
        <f t="shared" si="1"/>
        <v>0</v>
      </c>
      <c r="J17">
        <f t="shared" si="2"/>
        <v>1</v>
      </c>
      <c r="K17">
        <f t="shared" si="3"/>
        <v>0</v>
      </c>
      <c r="L17">
        <f t="shared" si="4"/>
        <v>0</v>
      </c>
      <c r="M17">
        <f t="shared" si="5"/>
        <v>1</v>
      </c>
      <c r="N17">
        <f t="shared" si="6"/>
        <v>1</v>
      </c>
      <c r="O17">
        <f t="shared" si="7"/>
        <v>1</v>
      </c>
      <c r="P17">
        <f t="shared" si="8"/>
        <v>1</v>
      </c>
      <c r="Q17">
        <f t="shared" si="9"/>
        <v>5</v>
      </c>
      <c r="R17">
        <f t="shared" si="10"/>
        <v>2</v>
      </c>
      <c r="S17">
        <f t="shared" si="13"/>
        <v>53129.999999999993</v>
      </c>
      <c r="T17">
        <f t="shared" si="12"/>
        <v>177099.99999999997</v>
      </c>
      <c r="U17">
        <f t="shared" si="12"/>
        <v>480700.00000000012</v>
      </c>
      <c r="V17">
        <f t="shared" si="12"/>
        <v>1081575</v>
      </c>
      <c r="W17">
        <f t="shared" si="12"/>
        <v>2042975</v>
      </c>
    </row>
    <row r="18" spans="1:23" x14ac:dyDescent="0.2">
      <c r="A18">
        <v>1</v>
      </c>
      <c r="B18">
        <v>1</v>
      </c>
      <c r="C18">
        <v>0</v>
      </c>
      <c r="D18">
        <v>0</v>
      </c>
      <c r="E18">
        <v>0</v>
      </c>
      <c r="F18">
        <v>0</v>
      </c>
      <c r="H18">
        <f t="shared" si="0"/>
        <v>1</v>
      </c>
      <c r="I18">
        <f t="shared" si="1"/>
        <v>1</v>
      </c>
      <c r="J18">
        <f t="shared" si="2"/>
        <v>0</v>
      </c>
      <c r="K18">
        <f t="shared" si="3"/>
        <v>1</v>
      </c>
      <c r="L18">
        <f t="shared" si="4"/>
        <v>1</v>
      </c>
      <c r="M18">
        <f t="shared" si="5"/>
        <v>0</v>
      </c>
      <c r="N18">
        <f t="shared" si="6"/>
        <v>1</v>
      </c>
      <c r="O18">
        <f t="shared" si="7"/>
        <v>1</v>
      </c>
      <c r="P18">
        <f t="shared" si="8"/>
        <v>0</v>
      </c>
      <c r="Q18">
        <f t="shared" si="9"/>
        <v>6</v>
      </c>
      <c r="R18">
        <f t="shared" si="10"/>
        <v>2</v>
      </c>
      <c r="S18">
        <f t="shared" si="13"/>
        <v>10626</v>
      </c>
      <c r="T18">
        <f t="shared" si="12"/>
        <v>42503.999999999993</v>
      </c>
      <c r="U18">
        <f t="shared" si="12"/>
        <v>134596.00000000003</v>
      </c>
      <c r="V18">
        <f t="shared" si="12"/>
        <v>346104</v>
      </c>
      <c r="W18">
        <f t="shared" si="12"/>
        <v>735471</v>
      </c>
    </row>
    <row r="19" spans="1:23" x14ac:dyDescent="0.2">
      <c r="A19">
        <v>1</v>
      </c>
      <c r="B19">
        <v>0</v>
      </c>
      <c r="C19">
        <v>1</v>
      </c>
      <c r="D19">
        <v>0</v>
      </c>
      <c r="E19">
        <v>0</v>
      </c>
      <c r="F19">
        <v>0</v>
      </c>
      <c r="H19">
        <f t="shared" si="0"/>
        <v>1</v>
      </c>
      <c r="I19">
        <f t="shared" si="1"/>
        <v>0</v>
      </c>
      <c r="J19">
        <f t="shared" si="2"/>
        <v>1</v>
      </c>
      <c r="K19">
        <f t="shared" si="3"/>
        <v>1</v>
      </c>
      <c r="L19">
        <f t="shared" si="4"/>
        <v>0</v>
      </c>
      <c r="M19">
        <f t="shared" si="5"/>
        <v>1</v>
      </c>
      <c r="N19">
        <f t="shared" si="6"/>
        <v>1</v>
      </c>
      <c r="O19">
        <f t="shared" si="7"/>
        <v>0</v>
      </c>
      <c r="P19">
        <f t="shared" si="8"/>
        <v>1</v>
      </c>
      <c r="Q19">
        <f t="shared" si="9"/>
        <v>6</v>
      </c>
      <c r="R19">
        <f t="shared" si="10"/>
        <v>2</v>
      </c>
      <c r="S19">
        <f t="shared" si="13"/>
        <v>10626</v>
      </c>
      <c r="T19">
        <f t="shared" si="13"/>
        <v>42503.999999999993</v>
      </c>
      <c r="U19">
        <f t="shared" si="13"/>
        <v>134596.00000000003</v>
      </c>
      <c r="V19">
        <f t="shared" si="13"/>
        <v>346104</v>
      </c>
      <c r="W19">
        <f t="shared" si="13"/>
        <v>735471</v>
      </c>
    </row>
    <row r="20" spans="1:23" x14ac:dyDescent="0.2">
      <c r="A20">
        <v>0</v>
      </c>
      <c r="B20">
        <v>0</v>
      </c>
      <c r="C20">
        <v>0</v>
      </c>
      <c r="D20">
        <v>1</v>
      </c>
      <c r="E20">
        <v>1</v>
      </c>
      <c r="F20">
        <v>0</v>
      </c>
      <c r="H20">
        <f t="shared" si="0"/>
        <v>1</v>
      </c>
      <c r="I20">
        <f t="shared" si="1"/>
        <v>1</v>
      </c>
      <c r="J20">
        <f t="shared" si="2"/>
        <v>1</v>
      </c>
      <c r="K20">
        <f t="shared" si="3"/>
        <v>1</v>
      </c>
      <c r="L20">
        <f t="shared" si="4"/>
        <v>1</v>
      </c>
      <c r="M20">
        <f t="shared" si="5"/>
        <v>1</v>
      </c>
      <c r="N20">
        <f t="shared" si="6"/>
        <v>0</v>
      </c>
      <c r="O20">
        <f t="shared" si="7"/>
        <v>0</v>
      </c>
      <c r="P20">
        <f t="shared" si="8"/>
        <v>0</v>
      </c>
      <c r="Q20">
        <f t="shared" si="9"/>
        <v>6</v>
      </c>
      <c r="R20">
        <f t="shared" si="10"/>
        <v>2</v>
      </c>
      <c r="S20">
        <f t="shared" si="13"/>
        <v>10626</v>
      </c>
      <c r="T20">
        <f t="shared" si="13"/>
        <v>42503.999999999993</v>
      </c>
      <c r="U20">
        <f t="shared" si="13"/>
        <v>134596.00000000003</v>
      </c>
      <c r="V20">
        <f t="shared" si="13"/>
        <v>346104</v>
      </c>
      <c r="W20">
        <f t="shared" si="13"/>
        <v>735471</v>
      </c>
    </row>
    <row r="21" spans="1:23" x14ac:dyDescent="0.2">
      <c r="A21">
        <v>0</v>
      </c>
      <c r="B21">
        <v>0</v>
      </c>
      <c r="C21">
        <v>0</v>
      </c>
      <c r="D21">
        <v>1</v>
      </c>
      <c r="E21">
        <v>0</v>
      </c>
      <c r="F21">
        <v>1</v>
      </c>
      <c r="H21">
        <f t="shared" si="0"/>
        <v>1</v>
      </c>
      <c r="I21">
        <f t="shared" si="1"/>
        <v>1</v>
      </c>
      <c r="J21">
        <f t="shared" si="2"/>
        <v>1</v>
      </c>
      <c r="K21">
        <f t="shared" si="3"/>
        <v>0</v>
      </c>
      <c r="L21">
        <f t="shared" si="4"/>
        <v>0</v>
      </c>
      <c r="M21">
        <f t="shared" si="5"/>
        <v>0</v>
      </c>
      <c r="N21">
        <f t="shared" si="6"/>
        <v>1</v>
      </c>
      <c r="O21">
        <f t="shared" si="7"/>
        <v>1</v>
      </c>
      <c r="P21">
        <f t="shared" si="8"/>
        <v>1</v>
      </c>
      <c r="Q21">
        <f t="shared" si="9"/>
        <v>6</v>
      </c>
      <c r="R21">
        <f t="shared" si="10"/>
        <v>2</v>
      </c>
      <c r="S21">
        <f t="shared" si="13"/>
        <v>10626</v>
      </c>
      <c r="T21">
        <f t="shared" si="13"/>
        <v>42503.999999999993</v>
      </c>
      <c r="U21">
        <f t="shared" si="13"/>
        <v>134596.00000000003</v>
      </c>
      <c r="V21">
        <f t="shared" si="13"/>
        <v>346104</v>
      </c>
      <c r="W21">
        <f t="shared" si="13"/>
        <v>735471</v>
      </c>
    </row>
    <row r="22" spans="1:23" x14ac:dyDescent="0.2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1</v>
      </c>
      <c r="L22">
        <f t="shared" si="4"/>
        <v>1</v>
      </c>
      <c r="M22">
        <f t="shared" si="5"/>
        <v>1</v>
      </c>
      <c r="N22">
        <f t="shared" si="6"/>
        <v>1</v>
      </c>
      <c r="O22">
        <f t="shared" si="7"/>
        <v>1</v>
      </c>
      <c r="P22">
        <f t="shared" si="8"/>
        <v>1</v>
      </c>
      <c r="Q22">
        <f t="shared" si="9"/>
        <v>6</v>
      </c>
      <c r="R22">
        <f t="shared" si="10"/>
        <v>2</v>
      </c>
      <c r="S22">
        <f t="shared" si="13"/>
        <v>10626</v>
      </c>
      <c r="T22">
        <f t="shared" si="13"/>
        <v>42503.999999999993</v>
      </c>
      <c r="U22">
        <f t="shared" si="13"/>
        <v>134596.00000000003</v>
      </c>
      <c r="V22">
        <f t="shared" si="13"/>
        <v>346104</v>
      </c>
      <c r="W22">
        <f t="shared" si="13"/>
        <v>735471</v>
      </c>
    </row>
    <row r="23" spans="1:23" x14ac:dyDescent="0.2">
      <c r="A23">
        <v>0</v>
      </c>
      <c r="B23">
        <v>1</v>
      </c>
      <c r="C23">
        <v>1</v>
      </c>
      <c r="D23">
        <v>0</v>
      </c>
      <c r="E23">
        <v>0</v>
      </c>
      <c r="F23">
        <v>0</v>
      </c>
      <c r="H23">
        <f t="shared" si="0"/>
        <v>0</v>
      </c>
      <c r="I23">
        <f t="shared" si="1"/>
        <v>1</v>
      </c>
      <c r="J23">
        <f t="shared" si="2"/>
        <v>1</v>
      </c>
      <c r="K23">
        <f t="shared" si="3"/>
        <v>0</v>
      </c>
      <c r="L23">
        <f t="shared" si="4"/>
        <v>1</v>
      </c>
      <c r="M23">
        <f t="shared" si="5"/>
        <v>1</v>
      </c>
      <c r="N23">
        <f t="shared" si="6"/>
        <v>0</v>
      </c>
      <c r="O23">
        <f t="shared" si="7"/>
        <v>1</v>
      </c>
      <c r="P23">
        <f t="shared" si="8"/>
        <v>1</v>
      </c>
      <c r="Q23">
        <f t="shared" si="9"/>
        <v>6</v>
      </c>
      <c r="R23">
        <f t="shared" si="10"/>
        <v>2</v>
      </c>
      <c r="S23">
        <f t="shared" si="13"/>
        <v>10626</v>
      </c>
      <c r="T23">
        <f t="shared" si="13"/>
        <v>42503.999999999993</v>
      </c>
      <c r="U23">
        <f t="shared" si="13"/>
        <v>134596.00000000003</v>
      </c>
      <c r="V23">
        <f t="shared" si="13"/>
        <v>346104</v>
      </c>
      <c r="W23">
        <f t="shared" si="13"/>
        <v>735471</v>
      </c>
    </row>
    <row r="24" spans="1:23" x14ac:dyDescent="0.2">
      <c r="A24">
        <v>1</v>
      </c>
      <c r="B24">
        <v>1</v>
      </c>
      <c r="C24">
        <v>0</v>
      </c>
      <c r="D24">
        <v>1</v>
      </c>
      <c r="E24">
        <v>0</v>
      </c>
      <c r="F24">
        <v>0</v>
      </c>
      <c r="H24">
        <f t="shared" si="0"/>
        <v>1</v>
      </c>
      <c r="I24">
        <f t="shared" si="1"/>
        <v>1</v>
      </c>
      <c r="J24">
        <f t="shared" si="2"/>
        <v>1</v>
      </c>
      <c r="K24">
        <f t="shared" si="3"/>
        <v>1</v>
      </c>
      <c r="L24">
        <f t="shared" si="4"/>
        <v>1</v>
      </c>
      <c r="M24">
        <f t="shared" si="5"/>
        <v>0</v>
      </c>
      <c r="N24">
        <f t="shared" si="6"/>
        <v>1</v>
      </c>
      <c r="O24">
        <f t="shared" si="7"/>
        <v>1</v>
      </c>
      <c r="P24">
        <f t="shared" si="8"/>
        <v>0</v>
      </c>
      <c r="Q24">
        <f t="shared" si="9"/>
        <v>7</v>
      </c>
      <c r="R24">
        <f t="shared" si="10"/>
        <v>3</v>
      </c>
      <c r="S24">
        <f t="shared" si="13"/>
        <v>1771</v>
      </c>
      <c r="T24">
        <f t="shared" si="13"/>
        <v>8855</v>
      </c>
      <c r="U24">
        <f t="shared" si="13"/>
        <v>33649.000000000007</v>
      </c>
      <c r="V24">
        <f t="shared" si="13"/>
        <v>100947</v>
      </c>
      <c r="W24">
        <f t="shared" si="13"/>
        <v>245157</v>
      </c>
    </row>
    <row r="25" spans="1:23" x14ac:dyDescent="0.2">
      <c r="A25">
        <v>1</v>
      </c>
      <c r="B25">
        <v>1</v>
      </c>
      <c r="C25">
        <v>0</v>
      </c>
      <c r="D25">
        <v>0</v>
      </c>
      <c r="E25">
        <v>1</v>
      </c>
      <c r="F25">
        <v>0</v>
      </c>
      <c r="H25">
        <f t="shared" si="0"/>
        <v>1</v>
      </c>
      <c r="I25">
        <f t="shared" si="1"/>
        <v>1</v>
      </c>
      <c r="J25">
        <f t="shared" si="2"/>
        <v>0</v>
      </c>
      <c r="K25">
        <f t="shared" si="3"/>
        <v>1</v>
      </c>
      <c r="L25">
        <f t="shared" si="4"/>
        <v>1</v>
      </c>
      <c r="M25">
        <f t="shared" si="5"/>
        <v>1</v>
      </c>
      <c r="N25">
        <f t="shared" si="6"/>
        <v>1</v>
      </c>
      <c r="O25">
        <f t="shared" si="7"/>
        <v>1</v>
      </c>
      <c r="P25">
        <f t="shared" si="8"/>
        <v>0</v>
      </c>
      <c r="Q25">
        <f t="shared" si="9"/>
        <v>7</v>
      </c>
      <c r="R25">
        <f t="shared" si="10"/>
        <v>3</v>
      </c>
      <c r="S25">
        <f t="shared" si="13"/>
        <v>1771</v>
      </c>
      <c r="T25">
        <f t="shared" si="13"/>
        <v>8855</v>
      </c>
      <c r="U25">
        <f t="shared" si="13"/>
        <v>33649.000000000007</v>
      </c>
      <c r="V25">
        <f t="shared" si="13"/>
        <v>100947</v>
      </c>
      <c r="W25">
        <f t="shared" si="13"/>
        <v>245157</v>
      </c>
    </row>
    <row r="26" spans="1:23" x14ac:dyDescent="0.2">
      <c r="A26">
        <v>1</v>
      </c>
      <c r="B26">
        <v>1</v>
      </c>
      <c r="C26">
        <v>0</v>
      </c>
      <c r="D26">
        <v>0</v>
      </c>
      <c r="E26">
        <v>0</v>
      </c>
      <c r="F26">
        <v>1</v>
      </c>
      <c r="H26">
        <f t="shared" si="0"/>
        <v>1</v>
      </c>
      <c r="I26">
        <f t="shared" si="1"/>
        <v>1</v>
      </c>
      <c r="J26">
        <f t="shared" si="2"/>
        <v>0</v>
      </c>
      <c r="K26">
        <f t="shared" si="3"/>
        <v>1</v>
      </c>
      <c r="L26">
        <f t="shared" si="4"/>
        <v>1</v>
      </c>
      <c r="M26">
        <f t="shared" si="5"/>
        <v>0</v>
      </c>
      <c r="N26">
        <f t="shared" si="6"/>
        <v>1</v>
      </c>
      <c r="O26">
        <f t="shared" si="7"/>
        <v>1</v>
      </c>
      <c r="P26">
        <f t="shared" si="8"/>
        <v>1</v>
      </c>
      <c r="Q26">
        <f t="shared" si="9"/>
        <v>7</v>
      </c>
      <c r="R26">
        <f t="shared" si="10"/>
        <v>3</v>
      </c>
      <c r="S26">
        <f t="shared" si="13"/>
        <v>1771</v>
      </c>
      <c r="T26">
        <f t="shared" si="13"/>
        <v>8855</v>
      </c>
      <c r="U26">
        <f t="shared" si="13"/>
        <v>33649.000000000007</v>
      </c>
      <c r="V26">
        <f t="shared" si="13"/>
        <v>100947</v>
      </c>
      <c r="W26">
        <f t="shared" si="13"/>
        <v>245157</v>
      </c>
    </row>
    <row r="27" spans="1:23" x14ac:dyDescent="0.2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H27">
        <f t="shared" si="0"/>
        <v>1</v>
      </c>
      <c r="I27">
        <f t="shared" si="1"/>
        <v>1</v>
      </c>
      <c r="J27">
        <f t="shared" si="2"/>
        <v>1</v>
      </c>
      <c r="K27">
        <f t="shared" si="3"/>
        <v>1</v>
      </c>
      <c r="L27">
        <f t="shared" si="4"/>
        <v>1</v>
      </c>
      <c r="M27">
        <f t="shared" si="5"/>
        <v>1</v>
      </c>
      <c r="N27">
        <f t="shared" si="6"/>
        <v>1</v>
      </c>
      <c r="O27">
        <f t="shared" si="7"/>
        <v>0</v>
      </c>
      <c r="P27">
        <f t="shared" si="8"/>
        <v>0</v>
      </c>
      <c r="Q27">
        <f t="shared" si="9"/>
        <v>7</v>
      </c>
      <c r="R27">
        <f t="shared" si="10"/>
        <v>3</v>
      </c>
      <c r="S27">
        <f t="shared" si="13"/>
        <v>1771</v>
      </c>
      <c r="T27">
        <f t="shared" si="13"/>
        <v>8855</v>
      </c>
      <c r="U27">
        <f t="shared" si="13"/>
        <v>33649.000000000007</v>
      </c>
      <c r="V27">
        <f t="shared" si="13"/>
        <v>100947</v>
      </c>
      <c r="W27">
        <f t="shared" si="13"/>
        <v>245157</v>
      </c>
    </row>
    <row r="28" spans="1:23" x14ac:dyDescent="0.2">
      <c r="A28">
        <v>1</v>
      </c>
      <c r="B28">
        <v>0</v>
      </c>
      <c r="C28">
        <v>0</v>
      </c>
      <c r="D28">
        <v>1</v>
      </c>
      <c r="E28">
        <v>0</v>
      </c>
      <c r="F28">
        <v>1</v>
      </c>
      <c r="H28">
        <f t="shared" si="0"/>
        <v>1</v>
      </c>
      <c r="I28">
        <f t="shared" si="1"/>
        <v>1</v>
      </c>
      <c r="J28">
        <f t="shared" si="2"/>
        <v>1</v>
      </c>
      <c r="K28">
        <f t="shared" si="3"/>
        <v>1</v>
      </c>
      <c r="L28">
        <f t="shared" si="4"/>
        <v>0</v>
      </c>
      <c r="M28">
        <f t="shared" si="5"/>
        <v>0</v>
      </c>
      <c r="N28">
        <f t="shared" si="6"/>
        <v>1</v>
      </c>
      <c r="O28">
        <f t="shared" si="7"/>
        <v>1</v>
      </c>
      <c r="P28">
        <f t="shared" si="8"/>
        <v>1</v>
      </c>
      <c r="Q28">
        <f t="shared" si="9"/>
        <v>7</v>
      </c>
      <c r="R28">
        <f t="shared" si="10"/>
        <v>3</v>
      </c>
      <c r="S28">
        <f t="shared" si="13"/>
        <v>1771</v>
      </c>
      <c r="T28">
        <f t="shared" si="13"/>
        <v>8855</v>
      </c>
      <c r="U28">
        <f t="shared" si="13"/>
        <v>33649.000000000007</v>
      </c>
      <c r="V28">
        <f t="shared" si="13"/>
        <v>100947</v>
      </c>
      <c r="W28">
        <f t="shared" si="13"/>
        <v>245157</v>
      </c>
    </row>
    <row r="29" spans="1:23" x14ac:dyDescent="0.2">
      <c r="A29">
        <v>1</v>
      </c>
      <c r="B29">
        <v>0</v>
      </c>
      <c r="C29">
        <v>1</v>
      </c>
      <c r="D29">
        <v>1</v>
      </c>
      <c r="E29">
        <v>0</v>
      </c>
      <c r="F29">
        <v>0</v>
      </c>
      <c r="H29">
        <f t="shared" si="0"/>
        <v>1</v>
      </c>
      <c r="I29">
        <f t="shared" si="1"/>
        <v>1</v>
      </c>
      <c r="J29">
        <f t="shared" si="2"/>
        <v>1</v>
      </c>
      <c r="K29">
        <f t="shared" si="3"/>
        <v>1</v>
      </c>
      <c r="L29">
        <f t="shared" si="4"/>
        <v>0</v>
      </c>
      <c r="M29">
        <f t="shared" si="5"/>
        <v>1</v>
      </c>
      <c r="N29">
        <f t="shared" si="6"/>
        <v>1</v>
      </c>
      <c r="O29">
        <f t="shared" si="7"/>
        <v>0</v>
      </c>
      <c r="P29">
        <f t="shared" si="8"/>
        <v>1</v>
      </c>
      <c r="Q29">
        <f t="shared" si="9"/>
        <v>7</v>
      </c>
      <c r="R29">
        <f t="shared" si="10"/>
        <v>3</v>
      </c>
      <c r="S29">
        <f t="shared" si="13"/>
        <v>1771</v>
      </c>
      <c r="T29">
        <f t="shared" si="13"/>
        <v>8855</v>
      </c>
      <c r="U29">
        <f t="shared" si="13"/>
        <v>33649.000000000007</v>
      </c>
      <c r="V29">
        <f t="shared" si="13"/>
        <v>100947</v>
      </c>
      <c r="W29">
        <f t="shared" si="13"/>
        <v>245157</v>
      </c>
    </row>
    <row r="30" spans="1:23" x14ac:dyDescent="0.2">
      <c r="A30">
        <v>1</v>
      </c>
      <c r="B30">
        <v>0</v>
      </c>
      <c r="C30">
        <v>0</v>
      </c>
      <c r="D30">
        <v>0</v>
      </c>
      <c r="E30">
        <v>1</v>
      </c>
      <c r="F30">
        <v>1</v>
      </c>
      <c r="H30">
        <f t="shared" si="0"/>
        <v>1</v>
      </c>
      <c r="I30">
        <f t="shared" si="1"/>
        <v>0</v>
      </c>
      <c r="J30">
        <f t="shared" si="2"/>
        <v>0</v>
      </c>
      <c r="K30">
        <f t="shared" si="3"/>
        <v>1</v>
      </c>
      <c r="L30">
        <f t="shared" si="4"/>
        <v>1</v>
      </c>
      <c r="M30">
        <f t="shared" si="5"/>
        <v>1</v>
      </c>
      <c r="N30">
        <f t="shared" si="6"/>
        <v>1</v>
      </c>
      <c r="O30">
        <f t="shared" si="7"/>
        <v>1</v>
      </c>
      <c r="P30">
        <f t="shared" si="8"/>
        <v>1</v>
      </c>
      <c r="Q30">
        <f t="shared" si="9"/>
        <v>7</v>
      </c>
      <c r="R30">
        <f t="shared" si="10"/>
        <v>3</v>
      </c>
      <c r="S30">
        <f t="shared" si="13"/>
        <v>1771</v>
      </c>
      <c r="T30">
        <f t="shared" si="13"/>
        <v>8855</v>
      </c>
      <c r="U30">
        <f t="shared" si="13"/>
        <v>33649.000000000007</v>
      </c>
      <c r="V30">
        <f t="shared" si="13"/>
        <v>100947</v>
      </c>
      <c r="W30">
        <f t="shared" si="13"/>
        <v>245157</v>
      </c>
    </row>
    <row r="31" spans="1:23" x14ac:dyDescent="0.2">
      <c r="A31">
        <v>1</v>
      </c>
      <c r="B31">
        <v>0</v>
      </c>
      <c r="C31">
        <v>1</v>
      </c>
      <c r="D31">
        <v>0</v>
      </c>
      <c r="E31">
        <v>1</v>
      </c>
      <c r="F31">
        <v>0</v>
      </c>
      <c r="H31">
        <f t="shared" si="0"/>
        <v>1</v>
      </c>
      <c r="I31">
        <f t="shared" si="1"/>
        <v>0</v>
      </c>
      <c r="J31">
        <f t="shared" si="2"/>
        <v>1</v>
      </c>
      <c r="K31">
        <f t="shared" si="3"/>
        <v>1</v>
      </c>
      <c r="L31">
        <f t="shared" si="4"/>
        <v>1</v>
      </c>
      <c r="M31">
        <f t="shared" si="5"/>
        <v>1</v>
      </c>
      <c r="N31">
        <f t="shared" si="6"/>
        <v>1</v>
      </c>
      <c r="O31">
        <f t="shared" si="7"/>
        <v>0</v>
      </c>
      <c r="P31">
        <f t="shared" si="8"/>
        <v>1</v>
      </c>
      <c r="Q31">
        <f t="shared" si="9"/>
        <v>7</v>
      </c>
      <c r="R31">
        <f t="shared" si="10"/>
        <v>3</v>
      </c>
      <c r="S31">
        <f t="shared" si="13"/>
        <v>1771</v>
      </c>
      <c r="T31">
        <f t="shared" si="13"/>
        <v>8855</v>
      </c>
      <c r="U31">
        <f t="shared" si="13"/>
        <v>33649.000000000007</v>
      </c>
      <c r="V31">
        <f t="shared" si="13"/>
        <v>100947</v>
      </c>
      <c r="W31">
        <f t="shared" si="13"/>
        <v>245157</v>
      </c>
    </row>
    <row r="32" spans="1:23" x14ac:dyDescent="0.2">
      <c r="A32">
        <v>1</v>
      </c>
      <c r="B32">
        <v>0</v>
      </c>
      <c r="C32">
        <v>1</v>
      </c>
      <c r="D32">
        <v>0</v>
      </c>
      <c r="E32">
        <v>0</v>
      </c>
      <c r="F32">
        <v>1</v>
      </c>
      <c r="H32">
        <f t="shared" si="0"/>
        <v>1</v>
      </c>
      <c r="I32">
        <f t="shared" si="1"/>
        <v>0</v>
      </c>
      <c r="J32">
        <f t="shared" si="2"/>
        <v>1</v>
      </c>
      <c r="K32">
        <f t="shared" si="3"/>
        <v>1</v>
      </c>
      <c r="L32">
        <f t="shared" si="4"/>
        <v>0</v>
      </c>
      <c r="M32">
        <f t="shared" si="5"/>
        <v>1</v>
      </c>
      <c r="N32">
        <f t="shared" si="6"/>
        <v>1</v>
      </c>
      <c r="O32">
        <f t="shared" si="7"/>
        <v>1</v>
      </c>
      <c r="P32">
        <f t="shared" si="8"/>
        <v>1</v>
      </c>
      <c r="Q32">
        <f t="shared" si="9"/>
        <v>7</v>
      </c>
      <c r="R32">
        <f t="shared" si="10"/>
        <v>3</v>
      </c>
      <c r="S32">
        <f t="shared" si="13"/>
        <v>1771</v>
      </c>
      <c r="T32">
        <f t="shared" si="13"/>
        <v>8855</v>
      </c>
      <c r="U32">
        <f t="shared" si="13"/>
        <v>33649.000000000007</v>
      </c>
      <c r="V32">
        <f t="shared" si="13"/>
        <v>100947</v>
      </c>
      <c r="W32">
        <f t="shared" si="13"/>
        <v>245157</v>
      </c>
    </row>
    <row r="33" spans="1:23" x14ac:dyDescent="0.2">
      <c r="A33">
        <v>0</v>
      </c>
      <c r="B33">
        <v>1</v>
      </c>
      <c r="C33">
        <v>0</v>
      </c>
      <c r="D33">
        <v>1</v>
      </c>
      <c r="E33">
        <v>1</v>
      </c>
      <c r="F33">
        <v>0</v>
      </c>
      <c r="H33">
        <f t="shared" si="0"/>
        <v>1</v>
      </c>
      <c r="I33">
        <f t="shared" si="1"/>
        <v>1</v>
      </c>
      <c r="J33">
        <f t="shared" si="2"/>
        <v>1</v>
      </c>
      <c r="K33">
        <f t="shared" si="3"/>
        <v>1</v>
      </c>
      <c r="L33">
        <f t="shared" si="4"/>
        <v>1</v>
      </c>
      <c r="M33">
        <f t="shared" si="5"/>
        <v>1</v>
      </c>
      <c r="N33">
        <f t="shared" si="6"/>
        <v>0</v>
      </c>
      <c r="O33">
        <f t="shared" si="7"/>
        <v>1</v>
      </c>
      <c r="P33">
        <f t="shared" si="8"/>
        <v>0</v>
      </c>
      <c r="Q33">
        <f t="shared" si="9"/>
        <v>7</v>
      </c>
      <c r="R33">
        <f t="shared" si="10"/>
        <v>3</v>
      </c>
      <c r="S33">
        <f t="shared" si="13"/>
        <v>1771</v>
      </c>
      <c r="T33">
        <f t="shared" si="13"/>
        <v>8855</v>
      </c>
      <c r="U33">
        <f t="shared" si="13"/>
        <v>33649.000000000007</v>
      </c>
      <c r="V33">
        <f t="shared" si="13"/>
        <v>100947</v>
      </c>
      <c r="W33">
        <f t="shared" si="13"/>
        <v>245157</v>
      </c>
    </row>
    <row r="34" spans="1:23" x14ac:dyDescent="0.2">
      <c r="A34">
        <v>0</v>
      </c>
      <c r="B34">
        <v>0</v>
      </c>
      <c r="C34">
        <v>1</v>
      </c>
      <c r="D34">
        <v>1</v>
      </c>
      <c r="E34">
        <v>1</v>
      </c>
      <c r="F34">
        <v>0</v>
      </c>
      <c r="H34">
        <f t="shared" si="0"/>
        <v>1</v>
      </c>
      <c r="I34">
        <f t="shared" si="1"/>
        <v>1</v>
      </c>
      <c r="J34">
        <f t="shared" si="2"/>
        <v>1</v>
      </c>
      <c r="K34">
        <f t="shared" si="3"/>
        <v>1</v>
      </c>
      <c r="L34">
        <f t="shared" si="4"/>
        <v>1</v>
      </c>
      <c r="M34">
        <f t="shared" si="5"/>
        <v>1</v>
      </c>
      <c r="N34">
        <f t="shared" si="6"/>
        <v>0</v>
      </c>
      <c r="O34">
        <f t="shared" si="7"/>
        <v>0</v>
      </c>
      <c r="P34">
        <f t="shared" si="8"/>
        <v>1</v>
      </c>
      <c r="Q34">
        <f t="shared" si="9"/>
        <v>7</v>
      </c>
      <c r="R34">
        <f t="shared" si="10"/>
        <v>3</v>
      </c>
      <c r="S34">
        <f t="shared" si="13"/>
        <v>1771</v>
      </c>
      <c r="T34">
        <f t="shared" si="13"/>
        <v>8855</v>
      </c>
      <c r="U34">
        <f t="shared" si="13"/>
        <v>33649.000000000007</v>
      </c>
      <c r="V34">
        <f t="shared" si="13"/>
        <v>100947</v>
      </c>
      <c r="W34">
        <f t="shared" si="13"/>
        <v>245157</v>
      </c>
    </row>
    <row r="35" spans="1:23" x14ac:dyDescent="0.2">
      <c r="A35">
        <v>0</v>
      </c>
      <c r="B35">
        <v>1</v>
      </c>
      <c r="C35">
        <v>0</v>
      </c>
      <c r="D35">
        <v>1</v>
      </c>
      <c r="E35">
        <v>0</v>
      </c>
      <c r="F35">
        <v>1</v>
      </c>
      <c r="H35">
        <f t="shared" si="0"/>
        <v>1</v>
      </c>
      <c r="I35">
        <f t="shared" si="1"/>
        <v>1</v>
      </c>
      <c r="J35">
        <f t="shared" si="2"/>
        <v>1</v>
      </c>
      <c r="K35">
        <f t="shared" si="3"/>
        <v>0</v>
      </c>
      <c r="L35">
        <f t="shared" si="4"/>
        <v>1</v>
      </c>
      <c r="M35">
        <f t="shared" si="5"/>
        <v>0</v>
      </c>
      <c r="N35">
        <f t="shared" si="6"/>
        <v>1</v>
      </c>
      <c r="O35">
        <f t="shared" si="7"/>
        <v>1</v>
      </c>
      <c r="P35">
        <f t="shared" si="8"/>
        <v>1</v>
      </c>
      <c r="Q35">
        <f t="shared" si="9"/>
        <v>7</v>
      </c>
      <c r="R35">
        <f t="shared" si="10"/>
        <v>3</v>
      </c>
      <c r="S35">
        <f t="shared" si="13"/>
        <v>1771</v>
      </c>
      <c r="T35">
        <f t="shared" si="13"/>
        <v>8855</v>
      </c>
      <c r="U35">
        <f t="shared" si="13"/>
        <v>33649.000000000007</v>
      </c>
      <c r="V35">
        <f t="shared" si="13"/>
        <v>100947</v>
      </c>
      <c r="W35">
        <f t="shared" si="13"/>
        <v>245157</v>
      </c>
    </row>
    <row r="36" spans="1:23" x14ac:dyDescent="0.2">
      <c r="A36">
        <v>0</v>
      </c>
      <c r="B36">
        <v>0</v>
      </c>
      <c r="C36">
        <v>1</v>
      </c>
      <c r="D36">
        <v>1</v>
      </c>
      <c r="E36">
        <v>0</v>
      </c>
      <c r="F36">
        <v>1</v>
      </c>
      <c r="H36">
        <f t="shared" si="0"/>
        <v>1</v>
      </c>
      <c r="I36">
        <f t="shared" si="1"/>
        <v>1</v>
      </c>
      <c r="J36">
        <f t="shared" si="2"/>
        <v>1</v>
      </c>
      <c r="K36">
        <f t="shared" si="3"/>
        <v>0</v>
      </c>
      <c r="L36">
        <f t="shared" si="4"/>
        <v>0</v>
      </c>
      <c r="M36">
        <f t="shared" si="5"/>
        <v>1</v>
      </c>
      <c r="N36">
        <f t="shared" si="6"/>
        <v>1</v>
      </c>
      <c r="O36">
        <f t="shared" si="7"/>
        <v>1</v>
      </c>
      <c r="P36">
        <f t="shared" si="8"/>
        <v>1</v>
      </c>
      <c r="Q36">
        <f t="shared" si="9"/>
        <v>7</v>
      </c>
      <c r="R36">
        <f t="shared" si="10"/>
        <v>3</v>
      </c>
      <c r="S36">
        <f t="shared" si="13"/>
        <v>1771</v>
      </c>
      <c r="T36">
        <f t="shared" si="13"/>
        <v>8855</v>
      </c>
      <c r="U36">
        <f t="shared" si="13"/>
        <v>33649.000000000007</v>
      </c>
      <c r="V36">
        <f t="shared" si="13"/>
        <v>100947</v>
      </c>
      <c r="W36">
        <f t="shared" si="13"/>
        <v>245157</v>
      </c>
    </row>
    <row r="37" spans="1:23" x14ac:dyDescent="0.2">
      <c r="A37">
        <v>0</v>
      </c>
      <c r="B37">
        <v>1</v>
      </c>
      <c r="C37">
        <v>1</v>
      </c>
      <c r="D37">
        <v>1</v>
      </c>
      <c r="E37">
        <v>0</v>
      </c>
      <c r="F37">
        <v>0</v>
      </c>
      <c r="H37">
        <f t="shared" si="0"/>
        <v>1</v>
      </c>
      <c r="I37">
        <f t="shared" si="1"/>
        <v>1</v>
      </c>
      <c r="J37">
        <f t="shared" si="2"/>
        <v>1</v>
      </c>
      <c r="K37">
        <f t="shared" si="3"/>
        <v>0</v>
      </c>
      <c r="L37">
        <f t="shared" si="4"/>
        <v>1</v>
      </c>
      <c r="M37">
        <f t="shared" si="5"/>
        <v>1</v>
      </c>
      <c r="N37">
        <f t="shared" si="6"/>
        <v>0</v>
      </c>
      <c r="O37">
        <f t="shared" si="7"/>
        <v>1</v>
      </c>
      <c r="P37">
        <f t="shared" si="8"/>
        <v>1</v>
      </c>
      <c r="Q37">
        <f t="shared" si="9"/>
        <v>7</v>
      </c>
      <c r="R37">
        <f t="shared" si="10"/>
        <v>3</v>
      </c>
      <c r="S37">
        <f t="shared" si="13"/>
        <v>1771</v>
      </c>
      <c r="T37">
        <f t="shared" si="13"/>
        <v>8855</v>
      </c>
      <c r="U37">
        <f t="shared" si="13"/>
        <v>33649.000000000007</v>
      </c>
      <c r="V37">
        <f t="shared" si="13"/>
        <v>100947</v>
      </c>
      <c r="W37">
        <f t="shared" si="13"/>
        <v>245157</v>
      </c>
    </row>
    <row r="38" spans="1:23" x14ac:dyDescent="0.2">
      <c r="A38">
        <v>0</v>
      </c>
      <c r="B38">
        <v>1</v>
      </c>
      <c r="C38">
        <v>0</v>
      </c>
      <c r="D38">
        <v>0</v>
      </c>
      <c r="E38">
        <v>1</v>
      </c>
      <c r="F38">
        <v>1</v>
      </c>
      <c r="H38">
        <f t="shared" si="0"/>
        <v>0</v>
      </c>
      <c r="I38">
        <f t="shared" si="1"/>
        <v>1</v>
      </c>
      <c r="J38">
        <f t="shared" si="2"/>
        <v>0</v>
      </c>
      <c r="K38">
        <f t="shared" si="3"/>
        <v>1</v>
      </c>
      <c r="L38">
        <f t="shared" si="4"/>
        <v>1</v>
      </c>
      <c r="M38">
        <f t="shared" si="5"/>
        <v>1</v>
      </c>
      <c r="N38">
        <f t="shared" si="6"/>
        <v>1</v>
      </c>
      <c r="O38">
        <f t="shared" si="7"/>
        <v>1</v>
      </c>
      <c r="P38">
        <f t="shared" si="8"/>
        <v>1</v>
      </c>
      <c r="Q38">
        <f t="shared" si="9"/>
        <v>7</v>
      </c>
      <c r="R38">
        <f t="shared" si="10"/>
        <v>3</v>
      </c>
      <c r="S38">
        <f t="shared" si="13"/>
        <v>1771</v>
      </c>
      <c r="T38">
        <f t="shared" si="13"/>
        <v>8855</v>
      </c>
      <c r="U38">
        <f t="shared" si="13"/>
        <v>33649.000000000007</v>
      </c>
      <c r="V38">
        <f t="shared" si="13"/>
        <v>100947</v>
      </c>
      <c r="W38">
        <f t="shared" si="13"/>
        <v>245157</v>
      </c>
    </row>
    <row r="39" spans="1:23" x14ac:dyDescent="0.2">
      <c r="A39">
        <v>0</v>
      </c>
      <c r="B39">
        <v>0</v>
      </c>
      <c r="C39">
        <v>1</v>
      </c>
      <c r="D39">
        <v>0</v>
      </c>
      <c r="E39">
        <v>1</v>
      </c>
      <c r="F39">
        <v>1</v>
      </c>
      <c r="H39">
        <f t="shared" si="0"/>
        <v>0</v>
      </c>
      <c r="I39">
        <f t="shared" si="1"/>
        <v>0</v>
      </c>
      <c r="J39">
        <f t="shared" si="2"/>
        <v>1</v>
      </c>
      <c r="K39">
        <f t="shared" si="3"/>
        <v>1</v>
      </c>
      <c r="L39">
        <f t="shared" si="4"/>
        <v>1</v>
      </c>
      <c r="M39">
        <f t="shared" si="5"/>
        <v>1</v>
      </c>
      <c r="N39">
        <f t="shared" si="6"/>
        <v>1</v>
      </c>
      <c r="O39">
        <f t="shared" si="7"/>
        <v>1</v>
      </c>
      <c r="P39">
        <f t="shared" si="8"/>
        <v>1</v>
      </c>
      <c r="Q39">
        <f t="shared" si="9"/>
        <v>7</v>
      </c>
      <c r="R39">
        <f t="shared" si="10"/>
        <v>3</v>
      </c>
      <c r="S39">
        <f t="shared" si="13"/>
        <v>1771</v>
      </c>
      <c r="T39">
        <f t="shared" si="13"/>
        <v>8855</v>
      </c>
      <c r="U39">
        <f t="shared" si="13"/>
        <v>33649.000000000007</v>
      </c>
      <c r="V39">
        <f t="shared" si="13"/>
        <v>100947</v>
      </c>
      <c r="W39">
        <f t="shared" si="13"/>
        <v>245157</v>
      </c>
    </row>
    <row r="40" spans="1:23" x14ac:dyDescent="0.2">
      <c r="A40">
        <v>0</v>
      </c>
      <c r="B40">
        <v>1</v>
      </c>
      <c r="C40">
        <v>1</v>
      </c>
      <c r="D40">
        <v>0</v>
      </c>
      <c r="E40">
        <v>1</v>
      </c>
      <c r="F40">
        <v>0</v>
      </c>
      <c r="H40">
        <f t="shared" si="0"/>
        <v>0</v>
      </c>
      <c r="I40">
        <f t="shared" si="1"/>
        <v>1</v>
      </c>
      <c r="J40">
        <f t="shared" si="2"/>
        <v>1</v>
      </c>
      <c r="K40">
        <f t="shared" si="3"/>
        <v>1</v>
      </c>
      <c r="L40">
        <f t="shared" si="4"/>
        <v>1</v>
      </c>
      <c r="M40">
        <f t="shared" si="5"/>
        <v>1</v>
      </c>
      <c r="N40">
        <f t="shared" si="6"/>
        <v>0</v>
      </c>
      <c r="O40">
        <f t="shared" si="7"/>
        <v>1</v>
      </c>
      <c r="P40">
        <f t="shared" si="8"/>
        <v>1</v>
      </c>
      <c r="Q40">
        <f t="shared" si="9"/>
        <v>7</v>
      </c>
      <c r="R40">
        <f t="shared" si="10"/>
        <v>3</v>
      </c>
      <c r="S40">
        <f t="shared" si="13"/>
        <v>1771</v>
      </c>
      <c r="T40">
        <f t="shared" si="13"/>
        <v>8855</v>
      </c>
      <c r="U40">
        <f t="shared" si="13"/>
        <v>33649.000000000007</v>
      </c>
      <c r="V40">
        <f t="shared" si="13"/>
        <v>100947</v>
      </c>
      <c r="W40">
        <f t="shared" si="13"/>
        <v>245157</v>
      </c>
    </row>
    <row r="41" spans="1:23" x14ac:dyDescent="0.2">
      <c r="A41">
        <v>0</v>
      </c>
      <c r="B41">
        <v>1</v>
      </c>
      <c r="C41">
        <v>1</v>
      </c>
      <c r="D41">
        <v>0</v>
      </c>
      <c r="E41">
        <v>0</v>
      </c>
      <c r="F41">
        <v>1</v>
      </c>
      <c r="H41">
        <f t="shared" si="0"/>
        <v>0</v>
      </c>
      <c r="I41">
        <f t="shared" si="1"/>
        <v>1</v>
      </c>
      <c r="J41">
        <f t="shared" si="2"/>
        <v>1</v>
      </c>
      <c r="K41">
        <f t="shared" si="3"/>
        <v>0</v>
      </c>
      <c r="L41">
        <f t="shared" si="4"/>
        <v>1</v>
      </c>
      <c r="M41">
        <f t="shared" si="5"/>
        <v>1</v>
      </c>
      <c r="N41">
        <f t="shared" si="6"/>
        <v>1</v>
      </c>
      <c r="O41">
        <f t="shared" si="7"/>
        <v>1</v>
      </c>
      <c r="P41">
        <f t="shared" si="8"/>
        <v>1</v>
      </c>
      <c r="Q41">
        <f t="shared" si="9"/>
        <v>7</v>
      </c>
      <c r="R41">
        <f t="shared" si="10"/>
        <v>3</v>
      </c>
      <c r="S41">
        <f t="shared" si="13"/>
        <v>1771</v>
      </c>
      <c r="T41">
        <f t="shared" si="13"/>
        <v>8855</v>
      </c>
      <c r="U41">
        <f t="shared" si="13"/>
        <v>33649.000000000007</v>
      </c>
      <c r="V41">
        <f t="shared" si="13"/>
        <v>100947</v>
      </c>
      <c r="W41">
        <f t="shared" si="13"/>
        <v>245157</v>
      </c>
    </row>
    <row r="42" spans="1:23" x14ac:dyDescent="0.2">
      <c r="A42">
        <v>1</v>
      </c>
      <c r="B42">
        <v>1</v>
      </c>
      <c r="C42">
        <v>0</v>
      </c>
      <c r="D42">
        <v>1</v>
      </c>
      <c r="E42">
        <v>1</v>
      </c>
      <c r="F42">
        <v>0</v>
      </c>
      <c r="H42">
        <f t="shared" si="0"/>
        <v>1</v>
      </c>
      <c r="I42">
        <f t="shared" si="1"/>
        <v>1</v>
      </c>
      <c r="J42">
        <f t="shared" si="2"/>
        <v>1</v>
      </c>
      <c r="K42">
        <f t="shared" si="3"/>
        <v>1</v>
      </c>
      <c r="L42">
        <f t="shared" si="4"/>
        <v>1</v>
      </c>
      <c r="M42">
        <f t="shared" si="5"/>
        <v>1</v>
      </c>
      <c r="N42">
        <f t="shared" si="6"/>
        <v>1</v>
      </c>
      <c r="O42">
        <f t="shared" si="7"/>
        <v>1</v>
      </c>
      <c r="P42">
        <f t="shared" si="8"/>
        <v>0</v>
      </c>
      <c r="Q42">
        <f t="shared" si="9"/>
        <v>8</v>
      </c>
      <c r="R42">
        <f t="shared" si="10"/>
        <v>4</v>
      </c>
      <c r="S42">
        <f t="shared" si="13"/>
        <v>231</v>
      </c>
      <c r="T42">
        <f t="shared" si="13"/>
        <v>1540</v>
      </c>
      <c r="U42">
        <f t="shared" si="13"/>
        <v>7315</v>
      </c>
      <c r="V42">
        <f t="shared" si="13"/>
        <v>26334</v>
      </c>
      <c r="W42">
        <f t="shared" si="13"/>
        <v>74613</v>
      </c>
    </row>
    <row r="43" spans="1:23" x14ac:dyDescent="0.2">
      <c r="A43">
        <v>1</v>
      </c>
      <c r="B43">
        <v>1</v>
      </c>
      <c r="C43">
        <v>0</v>
      </c>
      <c r="D43">
        <v>1</v>
      </c>
      <c r="E43">
        <v>0</v>
      </c>
      <c r="F43">
        <v>1</v>
      </c>
      <c r="H43">
        <f t="shared" si="0"/>
        <v>1</v>
      </c>
      <c r="I43">
        <f t="shared" si="1"/>
        <v>1</v>
      </c>
      <c r="J43">
        <f t="shared" si="2"/>
        <v>1</v>
      </c>
      <c r="K43">
        <f t="shared" si="3"/>
        <v>1</v>
      </c>
      <c r="L43">
        <f t="shared" si="4"/>
        <v>1</v>
      </c>
      <c r="M43">
        <f t="shared" si="5"/>
        <v>0</v>
      </c>
      <c r="N43">
        <f t="shared" si="6"/>
        <v>1</v>
      </c>
      <c r="O43">
        <f t="shared" si="7"/>
        <v>1</v>
      </c>
      <c r="P43">
        <f t="shared" si="8"/>
        <v>1</v>
      </c>
      <c r="Q43">
        <f t="shared" si="9"/>
        <v>8</v>
      </c>
      <c r="R43">
        <f t="shared" si="10"/>
        <v>4</v>
      </c>
      <c r="S43">
        <f t="shared" si="13"/>
        <v>231</v>
      </c>
      <c r="T43">
        <f t="shared" si="13"/>
        <v>1540</v>
      </c>
      <c r="U43">
        <f t="shared" si="13"/>
        <v>7315</v>
      </c>
      <c r="V43">
        <f t="shared" si="13"/>
        <v>26334</v>
      </c>
      <c r="W43">
        <f t="shared" si="13"/>
        <v>74613</v>
      </c>
    </row>
    <row r="44" spans="1:23" x14ac:dyDescent="0.2">
      <c r="A44">
        <v>1</v>
      </c>
      <c r="B44">
        <v>1</v>
      </c>
      <c r="C44">
        <v>0</v>
      </c>
      <c r="D44">
        <v>0</v>
      </c>
      <c r="E44">
        <v>1</v>
      </c>
      <c r="F44">
        <v>1</v>
      </c>
      <c r="H44">
        <f t="shared" si="0"/>
        <v>1</v>
      </c>
      <c r="I44">
        <f t="shared" si="1"/>
        <v>1</v>
      </c>
      <c r="J44">
        <f t="shared" si="2"/>
        <v>0</v>
      </c>
      <c r="K44">
        <f t="shared" si="3"/>
        <v>1</v>
      </c>
      <c r="L44">
        <f t="shared" si="4"/>
        <v>1</v>
      </c>
      <c r="M44">
        <f t="shared" si="5"/>
        <v>1</v>
      </c>
      <c r="N44">
        <f t="shared" si="6"/>
        <v>1</v>
      </c>
      <c r="O44">
        <f t="shared" si="7"/>
        <v>1</v>
      </c>
      <c r="P44">
        <f t="shared" si="8"/>
        <v>1</v>
      </c>
      <c r="Q44">
        <f t="shared" si="9"/>
        <v>8</v>
      </c>
      <c r="R44">
        <f t="shared" si="10"/>
        <v>4</v>
      </c>
      <c r="S44">
        <f t="shared" si="13"/>
        <v>231</v>
      </c>
      <c r="T44">
        <f t="shared" si="13"/>
        <v>1540</v>
      </c>
      <c r="U44">
        <f t="shared" si="13"/>
        <v>7315</v>
      </c>
      <c r="V44">
        <f t="shared" si="13"/>
        <v>26334</v>
      </c>
      <c r="W44">
        <f t="shared" si="13"/>
        <v>74613</v>
      </c>
    </row>
    <row r="45" spans="1:23" x14ac:dyDescent="0.2">
      <c r="A45">
        <v>1</v>
      </c>
      <c r="B45">
        <v>0</v>
      </c>
      <c r="C45">
        <v>1</v>
      </c>
      <c r="D45">
        <v>1</v>
      </c>
      <c r="E45">
        <v>1</v>
      </c>
      <c r="F45">
        <v>0</v>
      </c>
      <c r="H45">
        <f t="shared" si="0"/>
        <v>1</v>
      </c>
      <c r="I45">
        <f t="shared" si="1"/>
        <v>1</v>
      </c>
      <c r="J45">
        <f t="shared" si="2"/>
        <v>1</v>
      </c>
      <c r="K45">
        <f t="shared" si="3"/>
        <v>1</v>
      </c>
      <c r="L45">
        <f t="shared" si="4"/>
        <v>1</v>
      </c>
      <c r="M45">
        <f t="shared" si="5"/>
        <v>1</v>
      </c>
      <c r="N45">
        <f t="shared" si="6"/>
        <v>1</v>
      </c>
      <c r="O45">
        <f t="shared" si="7"/>
        <v>0</v>
      </c>
      <c r="P45">
        <f t="shared" si="8"/>
        <v>1</v>
      </c>
      <c r="Q45">
        <f t="shared" si="9"/>
        <v>8</v>
      </c>
      <c r="R45">
        <f t="shared" si="10"/>
        <v>4</v>
      </c>
      <c r="S45">
        <f t="shared" si="13"/>
        <v>231</v>
      </c>
      <c r="T45">
        <f t="shared" si="13"/>
        <v>1540</v>
      </c>
      <c r="U45">
        <f t="shared" si="13"/>
        <v>7315</v>
      </c>
      <c r="V45">
        <f t="shared" si="13"/>
        <v>26334</v>
      </c>
      <c r="W45">
        <f t="shared" si="13"/>
        <v>74613</v>
      </c>
    </row>
    <row r="46" spans="1:23" x14ac:dyDescent="0.2">
      <c r="A46">
        <v>1</v>
      </c>
      <c r="B46">
        <v>0</v>
      </c>
      <c r="C46">
        <v>1</v>
      </c>
      <c r="D46">
        <v>1</v>
      </c>
      <c r="E46">
        <v>0</v>
      </c>
      <c r="F46">
        <v>1</v>
      </c>
      <c r="H46">
        <f t="shared" si="0"/>
        <v>1</v>
      </c>
      <c r="I46">
        <f t="shared" si="1"/>
        <v>1</v>
      </c>
      <c r="J46">
        <f t="shared" si="2"/>
        <v>1</v>
      </c>
      <c r="K46">
        <f t="shared" si="3"/>
        <v>1</v>
      </c>
      <c r="L46">
        <f t="shared" si="4"/>
        <v>0</v>
      </c>
      <c r="M46">
        <f t="shared" si="5"/>
        <v>1</v>
      </c>
      <c r="N46">
        <f t="shared" si="6"/>
        <v>1</v>
      </c>
      <c r="O46">
        <f t="shared" si="7"/>
        <v>1</v>
      </c>
      <c r="P46">
        <f t="shared" si="8"/>
        <v>1</v>
      </c>
      <c r="Q46">
        <f t="shared" si="9"/>
        <v>8</v>
      </c>
      <c r="R46">
        <f t="shared" si="10"/>
        <v>4</v>
      </c>
      <c r="S46">
        <f t="shared" si="13"/>
        <v>231</v>
      </c>
      <c r="T46">
        <f t="shared" si="13"/>
        <v>1540</v>
      </c>
      <c r="U46">
        <f t="shared" si="13"/>
        <v>7315</v>
      </c>
      <c r="V46">
        <f t="shared" si="13"/>
        <v>26334</v>
      </c>
      <c r="W46">
        <f t="shared" si="13"/>
        <v>74613</v>
      </c>
    </row>
    <row r="47" spans="1:23" x14ac:dyDescent="0.2">
      <c r="A47">
        <v>1</v>
      </c>
      <c r="B47">
        <v>0</v>
      </c>
      <c r="C47">
        <v>1</v>
      </c>
      <c r="D47">
        <v>0</v>
      </c>
      <c r="E47">
        <v>1</v>
      </c>
      <c r="F47">
        <v>1</v>
      </c>
      <c r="H47">
        <f t="shared" si="0"/>
        <v>1</v>
      </c>
      <c r="I47">
        <f t="shared" si="1"/>
        <v>0</v>
      </c>
      <c r="J47">
        <f t="shared" si="2"/>
        <v>1</v>
      </c>
      <c r="K47">
        <f t="shared" si="3"/>
        <v>1</v>
      </c>
      <c r="L47">
        <f t="shared" si="4"/>
        <v>1</v>
      </c>
      <c r="M47">
        <f t="shared" si="5"/>
        <v>1</v>
      </c>
      <c r="N47">
        <f t="shared" si="6"/>
        <v>1</v>
      </c>
      <c r="O47">
        <f t="shared" si="7"/>
        <v>1</v>
      </c>
      <c r="P47">
        <f t="shared" si="8"/>
        <v>1</v>
      </c>
      <c r="Q47">
        <f t="shared" si="9"/>
        <v>8</v>
      </c>
      <c r="R47">
        <f t="shared" si="10"/>
        <v>4</v>
      </c>
      <c r="S47">
        <f t="shared" si="13"/>
        <v>231</v>
      </c>
      <c r="T47">
        <f t="shared" si="13"/>
        <v>1540</v>
      </c>
      <c r="U47">
        <f t="shared" si="13"/>
        <v>7315</v>
      </c>
      <c r="V47">
        <f t="shared" si="13"/>
        <v>26334</v>
      </c>
      <c r="W47">
        <f t="shared" si="13"/>
        <v>74613</v>
      </c>
    </row>
    <row r="48" spans="1:23" x14ac:dyDescent="0.2">
      <c r="A48">
        <v>0</v>
      </c>
      <c r="B48">
        <v>1</v>
      </c>
      <c r="C48">
        <v>1</v>
      </c>
      <c r="D48">
        <v>1</v>
      </c>
      <c r="E48">
        <v>1</v>
      </c>
      <c r="F48">
        <v>0</v>
      </c>
      <c r="H48">
        <f t="shared" si="0"/>
        <v>1</v>
      </c>
      <c r="I48">
        <f t="shared" si="1"/>
        <v>1</v>
      </c>
      <c r="J48">
        <f t="shared" si="2"/>
        <v>1</v>
      </c>
      <c r="K48">
        <f t="shared" si="3"/>
        <v>1</v>
      </c>
      <c r="L48">
        <f t="shared" si="4"/>
        <v>1</v>
      </c>
      <c r="M48">
        <f t="shared" si="5"/>
        <v>1</v>
      </c>
      <c r="N48">
        <f t="shared" si="6"/>
        <v>0</v>
      </c>
      <c r="O48">
        <f t="shared" si="7"/>
        <v>1</v>
      </c>
      <c r="P48">
        <f t="shared" si="8"/>
        <v>1</v>
      </c>
      <c r="Q48">
        <f t="shared" si="9"/>
        <v>8</v>
      </c>
      <c r="R48">
        <f t="shared" si="10"/>
        <v>4</v>
      </c>
      <c r="S48">
        <f t="shared" si="13"/>
        <v>231</v>
      </c>
      <c r="T48">
        <f t="shared" si="13"/>
        <v>1540</v>
      </c>
      <c r="U48">
        <f t="shared" si="13"/>
        <v>7315</v>
      </c>
      <c r="V48">
        <f t="shared" si="13"/>
        <v>26334</v>
      </c>
      <c r="W48">
        <f t="shared" si="13"/>
        <v>74613</v>
      </c>
    </row>
    <row r="49" spans="1:23" x14ac:dyDescent="0.2">
      <c r="A49">
        <v>0</v>
      </c>
      <c r="B49">
        <v>1</v>
      </c>
      <c r="C49">
        <v>1</v>
      </c>
      <c r="D49">
        <v>1</v>
      </c>
      <c r="E49">
        <v>0</v>
      </c>
      <c r="F49">
        <v>1</v>
      </c>
      <c r="H49">
        <f t="shared" si="0"/>
        <v>1</v>
      </c>
      <c r="I49">
        <f t="shared" si="1"/>
        <v>1</v>
      </c>
      <c r="J49">
        <f t="shared" si="2"/>
        <v>1</v>
      </c>
      <c r="K49">
        <f t="shared" si="3"/>
        <v>0</v>
      </c>
      <c r="L49">
        <f t="shared" si="4"/>
        <v>1</v>
      </c>
      <c r="M49">
        <f t="shared" si="5"/>
        <v>1</v>
      </c>
      <c r="N49">
        <f t="shared" si="6"/>
        <v>1</v>
      </c>
      <c r="O49">
        <f t="shared" si="7"/>
        <v>1</v>
      </c>
      <c r="P49">
        <f t="shared" si="8"/>
        <v>1</v>
      </c>
      <c r="Q49">
        <f t="shared" si="9"/>
        <v>8</v>
      </c>
      <c r="R49">
        <f t="shared" si="10"/>
        <v>4</v>
      </c>
      <c r="S49">
        <f t="shared" si="13"/>
        <v>231</v>
      </c>
      <c r="T49">
        <f t="shared" si="13"/>
        <v>1540</v>
      </c>
      <c r="U49">
        <f t="shared" si="13"/>
        <v>7315</v>
      </c>
      <c r="V49">
        <f t="shared" si="13"/>
        <v>26334</v>
      </c>
      <c r="W49">
        <f t="shared" si="13"/>
        <v>74613</v>
      </c>
    </row>
    <row r="50" spans="1:23" x14ac:dyDescent="0.2">
      <c r="A50">
        <v>0</v>
      </c>
      <c r="B50">
        <v>1</v>
      </c>
      <c r="C50">
        <v>1</v>
      </c>
      <c r="D50">
        <v>0</v>
      </c>
      <c r="E50">
        <v>1</v>
      </c>
      <c r="F50">
        <v>1</v>
      </c>
      <c r="H50">
        <f t="shared" si="0"/>
        <v>0</v>
      </c>
      <c r="I50">
        <f t="shared" si="1"/>
        <v>1</v>
      </c>
      <c r="J50">
        <f t="shared" si="2"/>
        <v>1</v>
      </c>
      <c r="K50">
        <f t="shared" si="3"/>
        <v>1</v>
      </c>
      <c r="L50">
        <f t="shared" si="4"/>
        <v>1</v>
      </c>
      <c r="M50">
        <f t="shared" si="5"/>
        <v>1</v>
      </c>
      <c r="N50">
        <f t="shared" si="6"/>
        <v>1</v>
      </c>
      <c r="O50">
        <f t="shared" si="7"/>
        <v>1</v>
      </c>
      <c r="P50">
        <f t="shared" si="8"/>
        <v>1</v>
      </c>
      <c r="Q50">
        <f t="shared" si="9"/>
        <v>8</v>
      </c>
      <c r="R50">
        <f t="shared" si="10"/>
        <v>4</v>
      </c>
      <c r="S50">
        <f t="shared" si="13"/>
        <v>231</v>
      </c>
      <c r="T50">
        <f t="shared" si="13"/>
        <v>1540</v>
      </c>
      <c r="U50">
        <f t="shared" si="13"/>
        <v>7315</v>
      </c>
      <c r="V50">
        <f t="shared" si="13"/>
        <v>26334</v>
      </c>
      <c r="W50">
        <f t="shared" si="13"/>
        <v>74613</v>
      </c>
    </row>
    <row r="51" spans="1:23" x14ac:dyDescent="0.2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H51">
        <f t="shared" si="0"/>
        <v>1</v>
      </c>
      <c r="I51">
        <f t="shared" si="1"/>
        <v>1</v>
      </c>
      <c r="J51">
        <f t="shared" si="2"/>
        <v>1</v>
      </c>
      <c r="K51">
        <f t="shared" si="3"/>
        <v>1</v>
      </c>
      <c r="L51">
        <f t="shared" si="4"/>
        <v>1</v>
      </c>
      <c r="M51">
        <f t="shared" si="5"/>
        <v>1</v>
      </c>
      <c r="N51">
        <f t="shared" si="6"/>
        <v>1</v>
      </c>
      <c r="O51">
        <f t="shared" si="7"/>
        <v>1</v>
      </c>
      <c r="P51">
        <f t="shared" si="8"/>
        <v>1</v>
      </c>
      <c r="Q51">
        <f t="shared" si="9"/>
        <v>9</v>
      </c>
      <c r="R51">
        <f t="shared" si="10"/>
        <v>6</v>
      </c>
      <c r="S51">
        <f t="shared" si="13"/>
        <v>21</v>
      </c>
      <c r="T51">
        <f t="shared" si="13"/>
        <v>210</v>
      </c>
      <c r="U51">
        <f t="shared" si="13"/>
        <v>1330</v>
      </c>
      <c r="V51">
        <f t="shared" si="13"/>
        <v>5985</v>
      </c>
      <c r="W51">
        <f t="shared" si="13"/>
        <v>20349</v>
      </c>
    </row>
    <row r="52" spans="1:23" hidden="1" x14ac:dyDescent="0.2"/>
    <row r="53" spans="1:23" hidden="1" x14ac:dyDescent="0.2"/>
    <row r="54" spans="1:23" hidden="1" x14ac:dyDescent="0.2"/>
    <row r="55" spans="1:23" hidden="1" x14ac:dyDescent="0.2"/>
    <row r="56" spans="1:23" hidden="1" x14ac:dyDescent="0.2"/>
    <row r="57" spans="1:23" hidden="1" x14ac:dyDescent="0.2"/>
    <row r="58" spans="1:23" hidden="1" x14ac:dyDescent="0.2"/>
    <row r="59" spans="1:23" hidden="1" x14ac:dyDescent="0.2"/>
    <row r="60" spans="1:23" hidden="1" x14ac:dyDescent="0.2"/>
    <row r="61" spans="1:23" hidden="1" x14ac:dyDescent="0.2"/>
    <row r="62" spans="1:23" hidden="1" x14ac:dyDescent="0.2"/>
    <row r="63" spans="1:23" hidden="1" x14ac:dyDescent="0.2"/>
    <row r="64" spans="1:23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</sheetData>
  <autoFilter ref="A1:R513" xr:uid="{D355A439-177C-46B6-85F0-654C705EDD23}">
    <filterColumn colId="0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A439-177C-46B6-85F0-654C705EDD23}">
  <sheetPr filterMode="1"/>
  <dimension ref="A1:S513"/>
  <sheetViews>
    <sheetView topLeftCell="I1" workbookViewId="0">
      <selection activeCell="R39" sqref="R39"/>
    </sheetView>
  </sheetViews>
  <sheetFormatPr defaultRowHeight="14.25" x14ac:dyDescent="0.2"/>
  <cols>
    <col min="7" max="7" width="9" customWidth="1"/>
    <col min="19" max="19" width="10.5" bestFit="1" customWidth="1"/>
  </cols>
  <sheetData>
    <row r="1" spans="1:19" ht="16.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 s="5" t="s">
        <v>39</v>
      </c>
      <c r="R1" s="3" t="s">
        <v>40</v>
      </c>
      <c r="S1">
        <v>9</v>
      </c>
    </row>
    <row r="2" spans="1:19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H2">
        <f t="shared" ref="H2:H33" si="0">IF(OR(A2=1,D2=1),1,0)</f>
        <v>0</v>
      </c>
      <c r="I2">
        <f t="shared" ref="I2:I33" si="1">IF(OR(B2=1,D2=1),1,0)</f>
        <v>0</v>
      </c>
      <c r="J2">
        <f t="shared" ref="J2:J33" si="2">IF(OR(C2=1,D2=1),1,0)</f>
        <v>0</v>
      </c>
      <c r="K2">
        <f t="shared" ref="K2:K33" si="3">IF(OR(A2=1,E2=1),1,0)</f>
        <v>0</v>
      </c>
      <c r="L2">
        <f t="shared" ref="L2:L33" si="4">IF(OR(B2=1,E2=1),1,0)</f>
        <v>0</v>
      </c>
      <c r="M2">
        <f t="shared" ref="M2:M33" si="5">IF(OR(C2=1,E2=1),1,0)</f>
        <v>0</v>
      </c>
      <c r="N2">
        <f t="shared" ref="N2:N33" si="6">IF(OR(A2=1,F2=1),1,0)</f>
        <v>0</v>
      </c>
      <c r="O2">
        <f t="shared" ref="O2:O33" si="7">IF(OR(B2=1,F2=1),1,0)</f>
        <v>0</v>
      </c>
      <c r="P2">
        <f t="shared" ref="P2:P33" si="8">IF(OR(C2=1,F2=1),1,0)</f>
        <v>0</v>
      </c>
      <c r="Q2">
        <f t="shared" ref="Q2:Q33" si="9">SUM(H2:P2)</f>
        <v>0</v>
      </c>
      <c r="R2">
        <f t="shared" ref="R2:R33" si="10">SUM(A2:F2)</f>
        <v>0</v>
      </c>
      <c r="S2">
        <f>COMBIN(30,9)</f>
        <v>14307150.000000004</v>
      </c>
    </row>
    <row r="3" spans="1:19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H3">
        <f t="shared" si="0"/>
        <v>1</v>
      </c>
      <c r="I3">
        <f t="shared" si="1"/>
        <v>0</v>
      </c>
      <c r="J3">
        <f t="shared" si="2"/>
        <v>0</v>
      </c>
      <c r="K3">
        <f t="shared" si="3"/>
        <v>1</v>
      </c>
      <c r="L3">
        <f t="shared" si="4"/>
        <v>0</v>
      </c>
      <c r="M3">
        <f t="shared" si="5"/>
        <v>0</v>
      </c>
      <c r="N3">
        <f t="shared" si="6"/>
        <v>1</v>
      </c>
      <c r="O3">
        <f t="shared" si="7"/>
        <v>0</v>
      </c>
      <c r="P3">
        <f t="shared" si="8"/>
        <v>0</v>
      </c>
      <c r="Q3">
        <f t="shared" si="9"/>
        <v>3</v>
      </c>
      <c r="R3">
        <f t="shared" si="10"/>
        <v>1</v>
      </c>
      <c r="S3">
        <f>COMBIN(30-$Q3,$S$1-$Q3)</f>
        <v>296010</v>
      </c>
    </row>
    <row r="4" spans="1:19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H4">
        <f t="shared" si="0"/>
        <v>0</v>
      </c>
      <c r="I4">
        <f t="shared" si="1"/>
        <v>1</v>
      </c>
      <c r="J4">
        <f t="shared" si="2"/>
        <v>0</v>
      </c>
      <c r="K4">
        <f t="shared" si="3"/>
        <v>0</v>
      </c>
      <c r="L4">
        <f t="shared" si="4"/>
        <v>1</v>
      </c>
      <c r="M4">
        <f t="shared" si="5"/>
        <v>0</v>
      </c>
      <c r="N4">
        <f t="shared" si="6"/>
        <v>0</v>
      </c>
      <c r="O4">
        <f t="shared" si="7"/>
        <v>1</v>
      </c>
      <c r="P4">
        <f t="shared" si="8"/>
        <v>0</v>
      </c>
      <c r="Q4">
        <f t="shared" si="9"/>
        <v>3</v>
      </c>
      <c r="R4">
        <f t="shared" si="10"/>
        <v>1</v>
      </c>
      <c r="S4">
        <f t="shared" ref="S4:S51" si="11">COMBIN(30-$Q4,$S$1-$Q4)</f>
        <v>296010</v>
      </c>
    </row>
    <row r="5" spans="1:19" x14ac:dyDescent="0.2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H5">
        <f t="shared" si="0"/>
        <v>1</v>
      </c>
      <c r="I5">
        <f t="shared" si="1"/>
        <v>1</v>
      </c>
      <c r="J5">
        <f t="shared" si="2"/>
        <v>1</v>
      </c>
      <c r="K5">
        <f t="shared" si="3"/>
        <v>0</v>
      </c>
      <c r="L5">
        <f t="shared" si="4"/>
        <v>0</v>
      </c>
      <c r="M5">
        <f t="shared" si="5"/>
        <v>0</v>
      </c>
      <c r="N5">
        <f t="shared" si="6"/>
        <v>0</v>
      </c>
      <c r="O5">
        <f t="shared" si="7"/>
        <v>0</v>
      </c>
      <c r="P5">
        <f t="shared" si="8"/>
        <v>0</v>
      </c>
      <c r="Q5">
        <f t="shared" si="9"/>
        <v>3</v>
      </c>
      <c r="R5">
        <f t="shared" si="10"/>
        <v>1</v>
      </c>
      <c r="S5">
        <f t="shared" si="11"/>
        <v>296010</v>
      </c>
    </row>
    <row r="6" spans="1:19" x14ac:dyDescent="0.2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1</v>
      </c>
      <c r="L6">
        <f t="shared" si="4"/>
        <v>1</v>
      </c>
      <c r="M6">
        <f t="shared" si="5"/>
        <v>1</v>
      </c>
      <c r="N6">
        <f t="shared" si="6"/>
        <v>0</v>
      </c>
      <c r="O6">
        <f t="shared" si="7"/>
        <v>0</v>
      </c>
      <c r="P6">
        <f t="shared" si="8"/>
        <v>0</v>
      </c>
      <c r="Q6">
        <f t="shared" si="9"/>
        <v>3</v>
      </c>
      <c r="R6">
        <f t="shared" si="10"/>
        <v>1</v>
      </c>
      <c r="S6">
        <f t="shared" si="11"/>
        <v>296010</v>
      </c>
    </row>
    <row r="7" spans="1:19" x14ac:dyDescent="0.2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H7">
        <f t="shared" si="0"/>
        <v>0</v>
      </c>
      <c r="I7">
        <f t="shared" si="1"/>
        <v>0</v>
      </c>
      <c r="J7">
        <f t="shared" si="2"/>
        <v>1</v>
      </c>
      <c r="K7">
        <f t="shared" si="3"/>
        <v>0</v>
      </c>
      <c r="L7">
        <f t="shared" si="4"/>
        <v>0</v>
      </c>
      <c r="M7">
        <f t="shared" si="5"/>
        <v>1</v>
      </c>
      <c r="N7">
        <f t="shared" si="6"/>
        <v>0</v>
      </c>
      <c r="O7">
        <f t="shared" si="7"/>
        <v>0</v>
      </c>
      <c r="P7">
        <f t="shared" si="8"/>
        <v>1</v>
      </c>
      <c r="Q7">
        <f t="shared" si="9"/>
        <v>3</v>
      </c>
      <c r="R7">
        <f t="shared" si="10"/>
        <v>1</v>
      </c>
      <c r="S7">
        <f t="shared" si="11"/>
        <v>296010</v>
      </c>
    </row>
    <row r="8" spans="1:19" x14ac:dyDescent="0.2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M8">
        <f t="shared" si="5"/>
        <v>0</v>
      </c>
      <c r="N8">
        <f t="shared" si="6"/>
        <v>1</v>
      </c>
      <c r="O8">
        <f t="shared" si="7"/>
        <v>1</v>
      </c>
      <c r="P8">
        <f t="shared" si="8"/>
        <v>1</v>
      </c>
      <c r="Q8">
        <f t="shared" si="9"/>
        <v>3</v>
      </c>
      <c r="R8">
        <f t="shared" si="10"/>
        <v>1</v>
      </c>
      <c r="S8">
        <f t="shared" si="11"/>
        <v>296010</v>
      </c>
    </row>
    <row r="9" spans="1:19" x14ac:dyDescent="0.2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H9">
        <f t="shared" si="0"/>
        <v>1</v>
      </c>
      <c r="I9">
        <f t="shared" si="1"/>
        <v>1</v>
      </c>
      <c r="J9">
        <f t="shared" si="2"/>
        <v>1</v>
      </c>
      <c r="K9">
        <f t="shared" si="3"/>
        <v>1</v>
      </c>
      <c r="L9">
        <f t="shared" si="4"/>
        <v>0</v>
      </c>
      <c r="M9">
        <f t="shared" si="5"/>
        <v>0</v>
      </c>
      <c r="N9">
        <f t="shared" si="6"/>
        <v>1</v>
      </c>
      <c r="O9">
        <f t="shared" si="7"/>
        <v>0</v>
      </c>
      <c r="P9">
        <f t="shared" si="8"/>
        <v>0</v>
      </c>
      <c r="Q9">
        <f t="shared" si="9"/>
        <v>5</v>
      </c>
      <c r="R9">
        <f t="shared" si="10"/>
        <v>2</v>
      </c>
      <c r="S9">
        <f t="shared" si="11"/>
        <v>12650.000000000002</v>
      </c>
    </row>
    <row r="10" spans="1:19" x14ac:dyDescent="0.2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H10">
        <f t="shared" si="0"/>
        <v>1</v>
      </c>
      <c r="I10">
        <f t="shared" si="1"/>
        <v>0</v>
      </c>
      <c r="J10">
        <f t="shared" si="2"/>
        <v>0</v>
      </c>
      <c r="K10">
        <f t="shared" si="3"/>
        <v>1</v>
      </c>
      <c r="L10">
        <f t="shared" si="4"/>
        <v>1</v>
      </c>
      <c r="M10">
        <f t="shared" si="5"/>
        <v>1</v>
      </c>
      <c r="N10">
        <f t="shared" si="6"/>
        <v>1</v>
      </c>
      <c r="O10">
        <f t="shared" si="7"/>
        <v>0</v>
      </c>
      <c r="P10">
        <f t="shared" si="8"/>
        <v>0</v>
      </c>
      <c r="Q10">
        <f t="shared" si="9"/>
        <v>5</v>
      </c>
      <c r="R10">
        <f t="shared" si="10"/>
        <v>2</v>
      </c>
      <c r="S10">
        <f t="shared" si="11"/>
        <v>12650.000000000002</v>
      </c>
    </row>
    <row r="11" spans="1:19" x14ac:dyDescent="0.2">
      <c r="A11">
        <v>1</v>
      </c>
      <c r="B11">
        <v>0</v>
      </c>
      <c r="C11">
        <v>0</v>
      </c>
      <c r="D11">
        <v>0</v>
      </c>
      <c r="E11">
        <v>0</v>
      </c>
      <c r="F11">
        <v>1</v>
      </c>
      <c r="H11">
        <f t="shared" si="0"/>
        <v>1</v>
      </c>
      <c r="I11">
        <f t="shared" si="1"/>
        <v>0</v>
      </c>
      <c r="J11">
        <f t="shared" si="2"/>
        <v>0</v>
      </c>
      <c r="K11">
        <f t="shared" si="3"/>
        <v>1</v>
      </c>
      <c r="L11">
        <f t="shared" si="4"/>
        <v>0</v>
      </c>
      <c r="M11">
        <f t="shared" si="5"/>
        <v>0</v>
      </c>
      <c r="N11">
        <f t="shared" si="6"/>
        <v>1</v>
      </c>
      <c r="O11">
        <f t="shared" si="7"/>
        <v>1</v>
      </c>
      <c r="P11">
        <f t="shared" si="8"/>
        <v>1</v>
      </c>
      <c r="Q11">
        <f t="shared" si="9"/>
        <v>5</v>
      </c>
      <c r="R11">
        <f t="shared" si="10"/>
        <v>2</v>
      </c>
      <c r="S11">
        <f t="shared" si="11"/>
        <v>12650.000000000002</v>
      </c>
    </row>
    <row r="12" spans="1:19" x14ac:dyDescent="0.2">
      <c r="A12">
        <v>0</v>
      </c>
      <c r="B12">
        <v>1</v>
      </c>
      <c r="C12">
        <v>0</v>
      </c>
      <c r="D12">
        <v>1</v>
      </c>
      <c r="E12">
        <v>0</v>
      </c>
      <c r="F12">
        <v>0</v>
      </c>
      <c r="H12">
        <f t="shared" si="0"/>
        <v>1</v>
      </c>
      <c r="I12">
        <f t="shared" si="1"/>
        <v>1</v>
      </c>
      <c r="J12">
        <f t="shared" si="2"/>
        <v>1</v>
      </c>
      <c r="K12">
        <f t="shared" si="3"/>
        <v>0</v>
      </c>
      <c r="L12">
        <f t="shared" si="4"/>
        <v>1</v>
      </c>
      <c r="M12">
        <f t="shared" si="5"/>
        <v>0</v>
      </c>
      <c r="N12">
        <f t="shared" si="6"/>
        <v>0</v>
      </c>
      <c r="O12">
        <f t="shared" si="7"/>
        <v>1</v>
      </c>
      <c r="P12">
        <f t="shared" si="8"/>
        <v>0</v>
      </c>
      <c r="Q12">
        <f t="shared" si="9"/>
        <v>5</v>
      </c>
      <c r="R12">
        <f t="shared" si="10"/>
        <v>2</v>
      </c>
      <c r="S12">
        <f t="shared" si="11"/>
        <v>12650.000000000002</v>
      </c>
    </row>
    <row r="13" spans="1:19" x14ac:dyDescent="0.2">
      <c r="A13">
        <v>0</v>
      </c>
      <c r="B13">
        <v>1</v>
      </c>
      <c r="C13">
        <v>0</v>
      </c>
      <c r="D13">
        <v>0</v>
      </c>
      <c r="E13">
        <v>1</v>
      </c>
      <c r="F13">
        <v>0</v>
      </c>
      <c r="H13">
        <f t="shared" si="0"/>
        <v>0</v>
      </c>
      <c r="I13">
        <f t="shared" si="1"/>
        <v>1</v>
      </c>
      <c r="J13">
        <f t="shared" si="2"/>
        <v>0</v>
      </c>
      <c r="K13">
        <f t="shared" si="3"/>
        <v>1</v>
      </c>
      <c r="L13">
        <f t="shared" si="4"/>
        <v>1</v>
      </c>
      <c r="M13">
        <f t="shared" si="5"/>
        <v>1</v>
      </c>
      <c r="N13">
        <f t="shared" si="6"/>
        <v>0</v>
      </c>
      <c r="O13">
        <f t="shared" si="7"/>
        <v>1</v>
      </c>
      <c r="P13">
        <f t="shared" si="8"/>
        <v>0</v>
      </c>
      <c r="Q13">
        <f t="shared" si="9"/>
        <v>5</v>
      </c>
      <c r="R13">
        <f t="shared" si="10"/>
        <v>2</v>
      </c>
      <c r="S13">
        <f t="shared" si="11"/>
        <v>12650.000000000002</v>
      </c>
    </row>
    <row r="14" spans="1:19" x14ac:dyDescent="0.2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H14">
        <f t="shared" si="0"/>
        <v>1</v>
      </c>
      <c r="I14">
        <f t="shared" si="1"/>
        <v>1</v>
      </c>
      <c r="J14">
        <f t="shared" si="2"/>
        <v>1</v>
      </c>
      <c r="K14">
        <f t="shared" si="3"/>
        <v>0</v>
      </c>
      <c r="L14">
        <f t="shared" si="4"/>
        <v>0</v>
      </c>
      <c r="M14">
        <f t="shared" si="5"/>
        <v>1</v>
      </c>
      <c r="N14">
        <f t="shared" si="6"/>
        <v>0</v>
      </c>
      <c r="O14">
        <f t="shared" si="7"/>
        <v>0</v>
      </c>
      <c r="P14">
        <f t="shared" si="8"/>
        <v>1</v>
      </c>
      <c r="Q14">
        <f t="shared" si="9"/>
        <v>5</v>
      </c>
      <c r="R14">
        <f t="shared" si="10"/>
        <v>2</v>
      </c>
      <c r="S14">
        <f t="shared" si="11"/>
        <v>12650.000000000002</v>
      </c>
    </row>
    <row r="15" spans="1:19" x14ac:dyDescent="0.2">
      <c r="A15">
        <v>0</v>
      </c>
      <c r="B15">
        <v>0</v>
      </c>
      <c r="C15">
        <v>1</v>
      </c>
      <c r="D15">
        <v>0</v>
      </c>
      <c r="E15">
        <v>1</v>
      </c>
      <c r="F15">
        <v>0</v>
      </c>
      <c r="H15">
        <f t="shared" si="0"/>
        <v>0</v>
      </c>
      <c r="I15">
        <f t="shared" si="1"/>
        <v>0</v>
      </c>
      <c r="J15">
        <f t="shared" si="2"/>
        <v>1</v>
      </c>
      <c r="K15">
        <f t="shared" si="3"/>
        <v>1</v>
      </c>
      <c r="L15">
        <f t="shared" si="4"/>
        <v>1</v>
      </c>
      <c r="M15">
        <f t="shared" si="5"/>
        <v>1</v>
      </c>
      <c r="N15">
        <f t="shared" si="6"/>
        <v>0</v>
      </c>
      <c r="O15">
        <f t="shared" si="7"/>
        <v>0</v>
      </c>
      <c r="P15">
        <f t="shared" si="8"/>
        <v>1</v>
      </c>
      <c r="Q15">
        <f t="shared" si="9"/>
        <v>5</v>
      </c>
      <c r="R15">
        <f t="shared" si="10"/>
        <v>2</v>
      </c>
      <c r="S15">
        <f t="shared" si="11"/>
        <v>12650.000000000002</v>
      </c>
    </row>
    <row r="16" spans="1:19" x14ac:dyDescent="0.2">
      <c r="A16">
        <v>0</v>
      </c>
      <c r="B16">
        <v>1</v>
      </c>
      <c r="C16">
        <v>0</v>
      </c>
      <c r="D16">
        <v>0</v>
      </c>
      <c r="E16">
        <v>0</v>
      </c>
      <c r="F16">
        <v>1</v>
      </c>
      <c r="H16">
        <f t="shared" si="0"/>
        <v>0</v>
      </c>
      <c r="I16">
        <f t="shared" si="1"/>
        <v>1</v>
      </c>
      <c r="J16">
        <f t="shared" si="2"/>
        <v>0</v>
      </c>
      <c r="K16">
        <f t="shared" si="3"/>
        <v>0</v>
      </c>
      <c r="L16">
        <f t="shared" si="4"/>
        <v>1</v>
      </c>
      <c r="M16">
        <f t="shared" si="5"/>
        <v>0</v>
      </c>
      <c r="N16">
        <f t="shared" si="6"/>
        <v>1</v>
      </c>
      <c r="O16">
        <f t="shared" si="7"/>
        <v>1</v>
      </c>
      <c r="P16">
        <f t="shared" si="8"/>
        <v>1</v>
      </c>
      <c r="Q16">
        <f t="shared" si="9"/>
        <v>5</v>
      </c>
      <c r="R16">
        <f t="shared" si="10"/>
        <v>2</v>
      </c>
      <c r="S16">
        <f t="shared" si="11"/>
        <v>12650.000000000002</v>
      </c>
    </row>
    <row r="17" spans="1:19" x14ac:dyDescent="0.2">
      <c r="A17">
        <v>0</v>
      </c>
      <c r="B17">
        <v>0</v>
      </c>
      <c r="C17">
        <v>1</v>
      </c>
      <c r="D17">
        <v>0</v>
      </c>
      <c r="E17">
        <v>0</v>
      </c>
      <c r="F17">
        <v>1</v>
      </c>
      <c r="H17">
        <f t="shared" si="0"/>
        <v>0</v>
      </c>
      <c r="I17">
        <f t="shared" si="1"/>
        <v>0</v>
      </c>
      <c r="J17">
        <f t="shared" si="2"/>
        <v>1</v>
      </c>
      <c r="K17">
        <f t="shared" si="3"/>
        <v>0</v>
      </c>
      <c r="L17">
        <f t="shared" si="4"/>
        <v>0</v>
      </c>
      <c r="M17">
        <f t="shared" si="5"/>
        <v>1</v>
      </c>
      <c r="N17">
        <f t="shared" si="6"/>
        <v>1</v>
      </c>
      <c r="O17">
        <f t="shared" si="7"/>
        <v>1</v>
      </c>
      <c r="P17">
        <f t="shared" si="8"/>
        <v>1</v>
      </c>
      <c r="Q17">
        <f t="shared" si="9"/>
        <v>5</v>
      </c>
      <c r="R17">
        <f t="shared" si="10"/>
        <v>2</v>
      </c>
      <c r="S17">
        <f t="shared" si="11"/>
        <v>12650.000000000002</v>
      </c>
    </row>
    <row r="18" spans="1:19" x14ac:dyDescent="0.2">
      <c r="A18">
        <v>1</v>
      </c>
      <c r="B18">
        <v>1</v>
      </c>
      <c r="C18">
        <v>0</v>
      </c>
      <c r="D18">
        <v>0</v>
      </c>
      <c r="E18">
        <v>0</v>
      </c>
      <c r="F18">
        <v>0</v>
      </c>
      <c r="H18">
        <f t="shared" si="0"/>
        <v>1</v>
      </c>
      <c r="I18">
        <f t="shared" si="1"/>
        <v>1</v>
      </c>
      <c r="J18">
        <f t="shared" si="2"/>
        <v>0</v>
      </c>
      <c r="K18">
        <f t="shared" si="3"/>
        <v>1</v>
      </c>
      <c r="L18">
        <f t="shared" si="4"/>
        <v>1</v>
      </c>
      <c r="M18">
        <f t="shared" si="5"/>
        <v>0</v>
      </c>
      <c r="N18">
        <f t="shared" si="6"/>
        <v>1</v>
      </c>
      <c r="O18">
        <f t="shared" si="7"/>
        <v>1</v>
      </c>
      <c r="P18">
        <f t="shared" si="8"/>
        <v>0</v>
      </c>
      <c r="Q18">
        <f t="shared" si="9"/>
        <v>6</v>
      </c>
      <c r="R18">
        <f t="shared" si="10"/>
        <v>2</v>
      </c>
      <c r="S18">
        <f t="shared" si="11"/>
        <v>2024.0000000000002</v>
      </c>
    </row>
    <row r="19" spans="1:19" x14ac:dyDescent="0.2">
      <c r="A19">
        <v>1</v>
      </c>
      <c r="B19">
        <v>0</v>
      </c>
      <c r="C19">
        <v>1</v>
      </c>
      <c r="D19">
        <v>0</v>
      </c>
      <c r="E19">
        <v>0</v>
      </c>
      <c r="F19">
        <v>0</v>
      </c>
      <c r="H19">
        <f t="shared" si="0"/>
        <v>1</v>
      </c>
      <c r="I19">
        <f t="shared" si="1"/>
        <v>0</v>
      </c>
      <c r="J19">
        <f t="shared" si="2"/>
        <v>1</v>
      </c>
      <c r="K19">
        <f t="shared" si="3"/>
        <v>1</v>
      </c>
      <c r="L19">
        <f t="shared" si="4"/>
        <v>0</v>
      </c>
      <c r="M19">
        <f t="shared" si="5"/>
        <v>1</v>
      </c>
      <c r="N19">
        <f t="shared" si="6"/>
        <v>1</v>
      </c>
      <c r="O19">
        <f t="shared" si="7"/>
        <v>0</v>
      </c>
      <c r="P19">
        <f t="shared" si="8"/>
        <v>1</v>
      </c>
      <c r="Q19">
        <f t="shared" si="9"/>
        <v>6</v>
      </c>
      <c r="R19">
        <f t="shared" si="10"/>
        <v>2</v>
      </c>
      <c r="S19">
        <f t="shared" si="11"/>
        <v>2024.0000000000002</v>
      </c>
    </row>
    <row r="20" spans="1:19" x14ac:dyDescent="0.2">
      <c r="A20">
        <v>0</v>
      </c>
      <c r="B20">
        <v>0</v>
      </c>
      <c r="C20">
        <v>0</v>
      </c>
      <c r="D20">
        <v>1</v>
      </c>
      <c r="E20">
        <v>1</v>
      </c>
      <c r="F20">
        <v>0</v>
      </c>
      <c r="H20">
        <f t="shared" si="0"/>
        <v>1</v>
      </c>
      <c r="I20">
        <f t="shared" si="1"/>
        <v>1</v>
      </c>
      <c r="J20">
        <f t="shared" si="2"/>
        <v>1</v>
      </c>
      <c r="K20">
        <f t="shared" si="3"/>
        <v>1</v>
      </c>
      <c r="L20">
        <f t="shared" si="4"/>
        <v>1</v>
      </c>
      <c r="M20">
        <f t="shared" si="5"/>
        <v>1</v>
      </c>
      <c r="N20">
        <f t="shared" si="6"/>
        <v>0</v>
      </c>
      <c r="O20">
        <f t="shared" si="7"/>
        <v>0</v>
      </c>
      <c r="P20">
        <f t="shared" si="8"/>
        <v>0</v>
      </c>
      <c r="Q20">
        <f t="shared" si="9"/>
        <v>6</v>
      </c>
      <c r="R20">
        <f t="shared" si="10"/>
        <v>2</v>
      </c>
      <c r="S20">
        <f t="shared" si="11"/>
        <v>2024.0000000000002</v>
      </c>
    </row>
    <row r="21" spans="1:19" x14ac:dyDescent="0.2">
      <c r="A21">
        <v>0</v>
      </c>
      <c r="B21">
        <v>0</v>
      </c>
      <c r="C21">
        <v>0</v>
      </c>
      <c r="D21">
        <v>1</v>
      </c>
      <c r="E21">
        <v>0</v>
      </c>
      <c r="F21">
        <v>1</v>
      </c>
      <c r="H21">
        <f t="shared" si="0"/>
        <v>1</v>
      </c>
      <c r="I21">
        <f t="shared" si="1"/>
        <v>1</v>
      </c>
      <c r="J21">
        <f t="shared" si="2"/>
        <v>1</v>
      </c>
      <c r="K21">
        <f t="shared" si="3"/>
        <v>0</v>
      </c>
      <c r="L21">
        <f t="shared" si="4"/>
        <v>0</v>
      </c>
      <c r="M21">
        <f t="shared" si="5"/>
        <v>0</v>
      </c>
      <c r="N21">
        <f t="shared" si="6"/>
        <v>1</v>
      </c>
      <c r="O21">
        <f t="shared" si="7"/>
        <v>1</v>
      </c>
      <c r="P21">
        <f t="shared" si="8"/>
        <v>1</v>
      </c>
      <c r="Q21">
        <f t="shared" si="9"/>
        <v>6</v>
      </c>
      <c r="R21">
        <f t="shared" si="10"/>
        <v>2</v>
      </c>
      <c r="S21">
        <f t="shared" si="11"/>
        <v>2024.0000000000002</v>
      </c>
    </row>
    <row r="22" spans="1:19" x14ac:dyDescent="0.2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1</v>
      </c>
      <c r="L22">
        <f t="shared" si="4"/>
        <v>1</v>
      </c>
      <c r="M22">
        <f t="shared" si="5"/>
        <v>1</v>
      </c>
      <c r="N22">
        <f t="shared" si="6"/>
        <v>1</v>
      </c>
      <c r="O22">
        <f t="shared" si="7"/>
        <v>1</v>
      </c>
      <c r="P22">
        <f t="shared" si="8"/>
        <v>1</v>
      </c>
      <c r="Q22">
        <f t="shared" si="9"/>
        <v>6</v>
      </c>
      <c r="R22">
        <f t="shared" si="10"/>
        <v>2</v>
      </c>
      <c r="S22">
        <f t="shared" si="11"/>
        <v>2024.0000000000002</v>
      </c>
    </row>
    <row r="23" spans="1:19" x14ac:dyDescent="0.2">
      <c r="A23">
        <v>0</v>
      </c>
      <c r="B23">
        <v>1</v>
      </c>
      <c r="C23">
        <v>1</v>
      </c>
      <c r="D23">
        <v>0</v>
      </c>
      <c r="E23">
        <v>0</v>
      </c>
      <c r="F23">
        <v>0</v>
      </c>
      <c r="H23">
        <f t="shared" si="0"/>
        <v>0</v>
      </c>
      <c r="I23">
        <f t="shared" si="1"/>
        <v>1</v>
      </c>
      <c r="J23">
        <f t="shared" si="2"/>
        <v>1</v>
      </c>
      <c r="K23">
        <f t="shared" si="3"/>
        <v>0</v>
      </c>
      <c r="L23">
        <f t="shared" si="4"/>
        <v>1</v>
      </c>
      <c r="M23">
        <f t="shared" si="5"/>
        <v>1</v>
      </c>
      <c r="N23">
        <f t="shared" si="6"/>
        <v>0</v>
      </c>
      <c r="O23">
        <f t="shared" si="7"/>
        <v>1</v>
      </c>
      <c r="P23">
        <f t="shared" si="8"/>
        <v>1</v>
      </c>
      <c r="Q23">
        <f t="shared" si="9"/>
        <v>6</v>
      </c>
      <c r="R23">
        <f t="shared" si="10"/>
        <v>2</v>
      </c>
      <c r="S23">
        <f t="shared" si="11"/>
        <v>2024.0000000000002</v>
      </c>
    </row>
    <row r="24" spans="1:19" x14ac:dyDescent="0.2">
      <c r="A24">
        <v>1</v>
      </c>
      <c r="B24">
        <v>1</v>
      </c>
      <c r="C24">
        <v>0</v>
      </c>
      <c r="D24">
        <v>1</v>
      </c>
      <c r="E24">
        <v>0</v>
      </c>
      <c r="F24">
        <v>0</v>
      </c>
      <c r="H24">
        <f t="shared" si="0"/>
        <v>1</v>
      </c>
      <c r="I24">
        <f t="shared" si="1"/>
        <v>1</v>
      </c>
      <c r="J24">
        <f t="shared" si="2"/>
        <v>1</v>
      </c>
      <c r="K24">
        <f t="shared" si="3"/>
        <v>1</v>
      </c>
      <c r="L24">
        <f t="shared" si="4"/>
        <v>1</v>
      </c>
      <c r="M24">
        <f t="shared" si="5"/>
        <v>0</v>
      </c>
      <c r="N24">
        <f t="shared" si="6"/>
        <v>1</v>
      </c>
      <c r="O24">
        <f t="shared" si="7"/>
        <v>1</v>
      </c>
      <c r="P24">
        <f t="shared" si="8"/>
        <v>0</v>
      </c>
      <c r="Q24">
        <f t="shared" si="9"/>
        <v>7</v>
      </c>
      <c r="R24">
        <f t="shared" si="10"/>
        <v>3</v>
      </c>
      <c r="S24">
        <f t="shared" si="11"/>
        <v>253</v>
      </c>
    </row>
    <row r="25" spans="1:19" x14ac:dyDescent="0.2">
      <c r="A25">
        <v>1</v>
      </c>
      <c r="B25">
        <v>1</v>
      </c>
      <c r="C25">
        <v>0</v>
      </c>
      <c r="D25">
        <v>0</v>
      </c>
      <c r="E25">
        <v>1</v>
      </c>
      <c r="F25">
        <v>0</v>
      </c>
      <c r="H25">
        <f t="shared" si="0"/>
        <v>1</v>
      </c>
      <c r="I25">
        <f t="shared" si="1"/>
        <v>1</v>
      </c>
      <c r="J25">
        <f t="shared" si="2"/>
        <v>0</v>
      </c>
      <c r="K25">
        <f t="shared" si="3"/>
        <v>1</v>
      </c>
      <c r="L25">
        <f t="shared" si="4"/>
        <v>1</v>
      </c>
      <c r="M25">
        <f t="shared" si="5"/>
        <v>1</v>
      </c>
      <c r="N25">
        <f t="shared" si="6"/>
        <v>1</v>
      </c>
      <c r="O25">
        <f t="shared" si="7"/>
        <v>1</v>
      </c>
      <c r="P25">
        <f t="shared" si="8"/>
        <v>0</v>
      </c>
      <c r="Q25">
        <f t="shared" si="9"/>
        <v>7</v>
      </c>
      <c r="R25">
        <f t="shared" si="10"/>
        <v>3</v>
      </c>
      <c r="S25">
        <f t="shared" si="11"/>
        <v>253</v>
      </c>
    </row>
    <row r="26" spans="1:19" x14ac:dyDescent="0.2">
      <c r="A26">
        <v>1</v>
      </c>
      <c r="B26">
        <v>1</v>
      </c>
      <c r="C26">
        <v>0</v>
      </c>
      <c r="D26">
        <v>0</v>
      </c>
      <c r="E26">
        <v>0</v>
      </c>
      <c r="F26">
        <v>1</v>
      </c>
      <c r="H26">
        <f t="shared" si="0"/>
        <v>1</v>
      </c>
      <c r="I26">
        <f t="shared" si="1"/>
        <v>1</v>
      </c>
      <c r="J26">
        <f t="shared" si="2"/>
        <v>0</v>
      </c>
      <c r="K26">
        <f t="shared" si="3"/>
        <v>1</v>
      </c>
      <c r="L26">
        <f t="shared" si="4"/>
        <v>1</v>
      </c>
      <c r="M26">
        <f t="shared" si="5"/>
        <v>0</v>
      </c>
      <c r="N26">
        <f t="shared" si="6"/>
        <v>1</v>
      </c>
      <c r="O26">
        <f t="shared" si="7"/>
        <v>1</v>
      </c>
      <c r="P26">
        <f t="shared" si="8"/>
        <v>1</v>
      </c>
      <c r="Q26">
        <f t="shared" si="9"/>
        <v>7</v>
      </c>
      <c r="R26">
        <f t="shared" si="10"/>
        <v>3</v>
      </c>
      <c r="S26">
        <f t="shared" si="11"/>
        <v>253</v>
      </c>
    </row>
    <row r="27" spans="1:19" x14ac:dyDescent="0.2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H27">
        <f t="shared" si="0"/>
        <v>1</v>
      </c>
      <c r="I27">
        <f t="shared" si="1"/>
        <v>1</v>
      </c>
      <c r="J27">
        <f t="shared" si="2"/>
        <v>1</v>
      </c>
      <c r="K27">
        <f t="shared" si="3"/>
        <v>1</v>
      </c>
      <c r="L27">
        <f t="shared" si="4"/>
        <v>1</v>
      </c>
      <c r="M27">
        <f t="shared" si="5"/>
        <v>1</v>
      </c>
      <c r="N27">
        <f t="shared" si="6"/>
        <v>1</v>
      </c>
      <c r="O27">
        <f t="shared" si="7"/>
        <v>0</v>
      </c>
      <c r="P27">
        <f t="shared" si="8"/>
        <v>0</v>
      </c>
      <c r="Q27">
        <f t="shared" si="9"/>
        <v>7</v>
      </c>
      <c r="R27">
        <f t="shared" si="10"/>
        <v>3</v>
      </c>
      <c r="S27">
        <f t="shared" si="11"/>
        <v>253</v>
      </c>
    </row>
    <row r="28" spans="1:19" x14ac:dyDescent="0.2">
      <c r="A28">
        <v>1</v>
      </c>
      <c r="B28">
        <v>0</v>
      </c>
      <c r="C28">
        <v>0</v>
      </c>
      <c r="D28">
        <v>1</v>
      </c>
      <c r="E28">
        <v>0</v>
      </c>
      <c r="F28">
        <v>1</v>
      </c>
      <c r="H28">
        <f t="shared" si="0"/>
        <v>1</v>
      </c>
      <c r="I28">
        <f t="shared" si="1"/>
        <v>1</v>
      </c>
      <c r="J28">
        <f t="shared" si="2"/>
        <v>1</v>
      </c>
      <c r="K28">
        <f t="shared" si="3"/>
        <v>1</v>
      </c>
      <c r="L28">
        <f t="shared" si="4"/>
        <v>0</v>
      </c>
      <c r="M28">
        <f t="shared" si="5"/>
        <v>0</v>
      </c>
      <c r="N28">
        <f t="shared" si="6"/>
        <v>1</v>
      </c>
      <c r="O28">
        <f t="shared" si="7"/>
        <v>1</v>
      </c>
      <c r="P28">
        <f t="shared" si="8"/>
        <v>1</v>
      </c>
      <c r="Q28">
        <f t="shared" si="9"/>
        <v>7</v>
      </c>
      <c r="R28">
        <f t="shared" si="10"/>
        <v>3</v>
      </c>
      <c r="S28">
        <f t="shared" si="11"/>
        <v>253</v>
      </c>
    </row>
    <row r="29" spans="1:19" x14ac:dyDescent="0.2">
      <c r="A29">
        <v>1</v>
      </c>
      <c r="B29">
        <v>0</v>
      </c>
      <c r="C29">
        <v>1</v>
      </c>
      <c r="D29">
        <v>1</v>
      </c>
      <c r="E29">
        <v>0</v>
      </c>
      <c r="F29">
        <v>0</v>
      </c>
      <c r="H29">
        <f t="shared" si="0"/>
        <v>1</v>
      </c>
      <c r="I29">
        <f t="shared" si="1"/>
        <v>1</v>
      </c>
      <c r="J29">
        <f t="shared" si="2"/>
        <v>1</v>
      </c>
      <c r="K29">
        <f t="shared" si="3"/>
        <v>1</v>
      </c>
      <c r="L29">
        <f t="shared" si="4"/>
        <v>0</v>
      </c>
      <c r="M29">
        <f t="shared" si="5"/>
        <v>1</v>
      </c>
      <c r="N29">
        <f t="shared" si="6"/>
        <v>1</v>
      </c>
      <c r="O29">
        <f t="shared" si="7"/>
        <v>0</v>
      </c>
      <c r="P29">
        <f t="shared" si="8"/>
        <v>1</v>
      </c>
      <c r="Q29">
        <f t="shared" si="9"/>
        <v>7</v>
      </c>
      <c r="R29">
        <f t="shared" si="10"/>
        <v>3</v>
      </c>
      <c r="S29">
        <f t="shared" si="11"/>
        <v>253</v>
      </c>
    </row>
    <row r="30" spans="1:19" x14ac:dyDescent="0.2">
      <c r="A30">
        <v>1</v>
      </c>
      <c r="B30">
        <v>0</v>
      </c>
      <c r="C30">
        <v>0</v>
      </c>
      <c r="D30">
        <v>0</v>
      </c>
      <c r="E30">
        <v>1</v>
      </c>
      <c r="F30">
        <v>1</v>
      </c>
      <c r="H30">
        <f t="shared" si="0"/>
        <v>1</v>
      </c>
      <c r="I30">
        <f t="shared" si="1"/>
        <v>0</v>
      </c>
      <c r="J30">
        <f t="shared" si="2"/>
        <v>0</v>
      </c>
      <c r="K30">
        <f t="shared" si="3"/>
        <v>1</v>
      </c>
      <c r="L30">
        <f t="shared" si="4"/>
        <v>1</v>
      </c>
      <c r="M30">
        <f t="shared" si="5"/>
        <v>1</v>
      </c>
      <c r="N30">
        <f t="shared" si="6"/>
        <v>1</v>
      </c>
      <c r="O30">
        <f t="shared" si="7"/>
        <v>1</v>
      </c>
      <c r="P30">
        <f t="shared" si="8"/>
        <v>1</v>
      </c>
      <c r="Q30">
        <f t="shared" si="9"/>
        <v>7</v>
      </c>
      <c r="R30">
        <f t="shared" si="10"/>
        <v>3</v>
      </c>
      <c r="S30">
        <f t="shared" si="11"/>
        <v>253</v>
      </c>
    </row>
    <row r="31" spans="1:19" x14ac:dyDescent="0.2">
      <c r="A31">
        <v>1</v>
      </c>
      <c r="B31">
        <v>0</v>
      </c>
      <c r="C31">
        <v>1</v>
      </c>
      <c r="D31">
        <v>0</v>
      </c>
      <c r="E31">
        <v>1</v>
      </c>
      <c r="F31">
        <v>0</v>
      </c>
      <c r="H31">
        <f t="shared" si="0"/>
        <v>1</v>
      </c>
      <c r="I31">
        <f t="shared" si="1"/>
        <v>0</v>
      </c>
      <c r="J31">
        <f t="shared" si="2"/>
        <v>1</v>
      </c>
      <c r="K31">
        <f t="shared" si="3"/>
        <v>1</v>
      </c>
      <c r="L31">
        <f t="shared" si="4"/>
        <v>1</v>
      </c>
      <c r="M31">
        <f t="shared" si="5"/>
        <v>1</v>
      </c>
      <c r="N31">
        <f t="shared" si="6"/>
        <v>1</v>
      </c>
      <c r="O31">
        <f t="shared" si="7"/>
        <v>0</v>
      </c>
      <c r="P31">
        <f t="shared" si="8"/>
        <v>1</v>
      </c>
      <c r="Q31">
        <f t="shared" si="9"/>
        <v>7</v>
      </c>
      <c r="R31">
        <f t="shared" si="10"/>
        <v>3</v>
      </c>
      <c r="S31">
        <f t="shared" si="11"/>
        <v>253</v>
      </c>
    </row>
    <row r="32" spans="1:19" x14ac:dyDescent="0.2">
      <c r="A32">
        <v>1</v>
      </c>
      <c r="B32">
        <v>0</v>
      </c>
      <c r="C32">
        <v>1</v>
      </c>
      <c r="D32">
        <v>0</v>
      </c>
      <c r="E32">
        <v>0</v>
      </c>
      <c r="F32">
        <v>1</v>
      </c>
      <c r="H32">
        <f t="shared" si="0"/>
        <v>1</v>
      </c>
      <c r="I32">
        <f t="shared" si="1"/>
        <v>0</v>
      </c>
      <c r="J32">
        <f t="shared" si="2"/>
        <v>1</v>
      </c>
      <c r="K32">
        <f t="shared" si="3"/>
        <v>1</v>
      </c>
      <c r="L32">
        <f t="shared" si="4"/>
        <v>0</v>
      </c>
      <c r="M32">
        <f t="shared" si="5"/>
        <v>1</v>
      </c>
      <c r="N32">
        <f t="shared" si="6"/>
        <v>1</v>
      </c>
      <c r="O32">
        <f t="shared" si="7"/>
        <v>1</v>
      </c>
      <c r="P32">
        <f t="shared" si="8"/>
        <v>1</v>
      </c>
      <c r="Q32">
        <f t="shared" si="9"/>
        <v>7</v>
      </c>
      <c r="R32">
        <f t="shared" si="10"/>
        <v>3</v>
      </c>
      <c r="S32">
        <f t="shared" si="11"/>
        <v>253</v>
      </c>
    </row>
    <row r="33" spans="1:19" x14ac:dyDescent="0.2">
      <c r="A33">
        <v>0</v>
      </c>
      <c r="B33">
        <v>1</v>
      </c>
      <c r="C33">
        <v>0</v>
      </c>
      <c r="D33">
        <v>1</v>
      </c>
      <c r="E33">
        <v>1</v>
      </c>
      <c r="F33">
        <v>0</v>
      </c>
      <c r="H33">
        <f t="shared" si="0"/>
        <v>1</v>
      </c>
      <c r="I33">
        <f t="shared" si="1"/>
        <v>1</v>
      </c>
      <c r="J33">
        <f t="shared" si="2"/>
        <v>1</v>
      </c>
      <c r="K33">
        <f t="shared" si="3"/>
        <v>1</v>
      </c>
      <c r="L33">
        <f t="shared" si="4"/>
        <v>1</v>
      </c>
      <c r="M33">
        <f t="shared" si="5"/>
        <v>1</v>
      </c>
      <c r="N33">
        <f t="shared" si="6"/>
        <v>0</v>
      </c>
      <c r="O33">
        <f t="shared" si="7"/>
        <v>1</v>
      </c>
      <c r="P33">
        <f t="shared" si="8"/>
        <v>0</v>
      </c>
      <c r="Q33">
        <f t="shared" si="9"/>
        <v>7</v>
      </c>
      <c r="R33">
        <f t="shared" si="10"/>
        <v>3</v>
      </c>
      <c r="S33">
        <f t="shared" si="11"/>
        <v>253</v>
      </c>
    </row>
    <row r="34" spans="1:19" x14ac:dyDescent="0.2">
      <c r="A34">
        <v>0</v>
      </c>
      <c r="B34">
        <v>0</v>
      </c>
      <c r="C34">
        <v>1</v>
      </c>
      <c r="D34">
        <v>1</v>
      </c>
      <c r="E34">
        <v>1</v>
      </c>
      <c r="F34">
        <v>0</v>
      </c>
      <c r="H34">
        <f t="shared" ref="H34:H51" si="12">IF(OR(A34=1,D34=1),1,0)</f>
        <v>1</v>
      </c>
      <c r="I34">
        <f t="shared" ref="I34:I51" si="13">IF(OR(B34=1,D34=1),1,0)</f>
        <v>1</v>
      </c>
      <c r="J34">
        <f t="shared" ref="J34:J51" si="14">IF(OR(C34=1,D34=1),1,0)</f>
        <v>1</v>
      </c>
      <c r="K34">
        <f t="shared" ref="K34:K51" si="15">IF(OR(A34=1,E34=1),1,0)</f>
        <v>1</v>
      </c>
      <c r="L34">
        <f t="shared" ref="L34:L51" si="16">IF(OR(B34=1,E34=1),1,0)</f>
        <v>1</v>
      </c>
      <c r="M34">
        <f t="shared" ref="M34:M51" si="17">IF(OR(C34=1,E34=1),1,0)</f>
        <v>1</v>
      </c>
      <c r="N34">
        <f t="shared" ref="N34:N51" si="18">IF(OR(A34=1,F34=1),1,0)</f>
        <v>0</v>
      </c>
      <c r="O34">
        <f t="shared" ref="O34:O51" si="19">IF(OR(B34=1,F34=1),1,0)</f>
        <v>0</v>
      </c>
      <c r="P34">
        <f t="shared" ref="P34:P51" si="20">IF(OR(C34=1,F34=1),1,0)</f>
        <v>1</v>
      </c>
      <c r="Q34">
        <f t="shared" ref="Q34:Q51" si="21">SUM(H34:P34)</f>
        <v>7</v>
      </c>
      <c r="R34">
        <f t="shared" ref="R34:R51" si="22">SUM(A34:F34)</f>
        <v>3</v>
      </c>
      <c r="S34">
        <f t="shared" si="11"/>
        <v>253</v>
      </c>
    </row>
    <row r="35" spans="1:19" x14ac:dyDescent="0.2">
      <c r="A35">
        <v>0</v>
      </c>
      <c r="B35">
        <v>1</v>
      </c>
      <c r="C35">
        <v>0</v>
      </c>
      <c r="D35">
        <v>1</v>
      </c>
      <c r="E35">
        <v>0</v>
      </c>
      <c r="F35">
        <v>1</v>
      </c>
      <c r="H35">
        <f t="shared" si="12"/>
        <v>1</v>
      </c>
      <c r="I35">
        <f t="shared" si="13"/>
        <v>1</v>
      </c>
      <c r="J35">
        <f t="shared" si="14"/>
        <v>1</v>
      </c>
      <c r="K35">
        <f t="shared" si="15"/>
        <v>0</v>
      </c>
      <c r="L35">
        <f t="shared" si="16"/>
        <v>1</v>
      </c>
      <c r="M35">
        <f t="shared" si="17"/>
        <v>0</v>
      </c>
      <c r="N35">
        <f t="shared" si="18"/>
        <v>1</v>
      </c>
      <c r="O35">
        <f t="shared" si="19"/>
        <v>1</v>
      </c>
      <c r="P35">
        <f t="shared" si="20"/>
        <v>1</v>
      </c>
      <c r="Q35">
        <f t="shared" si="21"/>
        <v>7</v>
      </c>
      <c r="R35">
        <f t="shared" si="22"/>
        <v>3</v>
      </c>
      <c r="S35">
        <f t="shared" si="11"/>
        <v>253</v>
      </c>
    </row>
    <row r="36" spans="1:19" x14ac:dyDescent="0.2">
      <c r="A36">
        <v>0</v>
      </c>
      <c r="B36">
        <v>0</v>
      </c>
      <c r="C36">
        <v>1</v>
      </c>
      <c r="D36">
        <v>1</v>
      </c>
      <c r="E36">
        <v>0</v>
      </c>
      <c r="F36">
        <v>1</v>
      </c>
      <c r="H36">
        <f t="shared" si="12"/>
        <v>1</v>
      </c>
      <c r="I36">
        <f t="shared" si="13"/>
        <v>1</v>
      </c>
      <c r="J36">
        <f t="shared" si="14"/>
        <v>1</v>
      </c>
      <c r="K36">
        <f t="shared" si="15"/>
        <v>0</v>
      </c>
      <c r="L36">
        <f t="shared" si="16"/>
        <v>0</v>
      </c>
      <c r="M36">
        <f t="shared" si="17"/>
        <v>1</v>
      </c>
      <c r="N36">
        <f t="shared" si="18"/>
        <v>1</v>
      </c>
      <c r="O36">
        <f t="shared" si="19"/>
        <v>1</v>
      </c>
      <c r="P36">
        <f t="shared" si="20"/>
        <v>1</v>
      </c>
      <c r="Q36">
        <f t="shared" si="21"/>
        <v>7</v>
      </c>
      <c r="R36">
        <f t="shared" si="22"/>
        <v>3</v>
      </c>
      <c r="S36">
        <f t="shared" si="11"/>
        <v>253</v>
      </c>
    </row>
    <row r="37" spans="1:19" x14ac:dyDescent="0.2">
      <c r="A37">
        <v>0</v>
      </c>
      <c r="B37">
        <v>1</v>
      </c>
      <c r="C37">
        <v>1</v>
      </c>
      <c r="D37">
        <v>1</v>
      </c>
      <c r="E37">
        <v>0</v>
      </c>
      <c r="F37">
        <v>0</v>
      </c>
      <c r="H37">
        <f t="shared" si="12"/>
        <v>1</v>
      </c>
      <c r="I37">
        <f t="shared" si="13"/>
        <v>1</v>
      </c>
      <c r="J37">
        <f t="shared" si="14"/>
        <v>1</v>
      </c>
      <c r="K37">
        <f t="shared" si="15"/>
        <v>0</v>
      </c>
      <c r="L37">
        <f t="shared" si="16"/>
        <v>1</v>
      </c>
      <c r="M37">
        <f t="shared" si="17"/>
        <v>1</v>
      </c>
      <c r="N37">
        <f t="shared" si="18"/>
        <v>0</v>
      </c>
      <c r="O37">
        <f t="shared" si="19"/>
        <v>1</v>
      </c>
      <c r="P37">
        <f t="shared" si="20"/>
        <v>1</v>
      </c>
      <c r="Q37">
        <f t="shared" si="21"/>
        <v>7</v>
      </c>
      <c r="R37">
        <f t="shared" si="22"/>
        <v>3</v>
      </c>
      <c r="S37">
        <f t="shared" si="11"/>
        <v>253</v>
      </c>
    </row>
    <row r="38" spans="1:19" x14ac:dyDescent="0.2">
      <c r="A38">
        <v>0</v>
      </c>
      <c r="B38">
        <v>1</v>
      </c>
      <c r="C38">
        <v>0</v>
      </c>
      <c r="D38">
        <v>0</v>
      </c>
      <c r="E38">
        <v>1</v>
      </c>
      <c r="F38">
        <v>1</v>
      </c>
      <c r="H38">
        <f t="shared" si="12"/>
        <v>0</v>
      </c>
      <c r="I38">
        <f t="shared" si="13"/>
        <v>1</v>
      </c>
      <c r="J38">
        <f t="shared" si="14"/>
        <v>0</v>
      </c>
      <c r="K38">
        <f t="shared" si="15"/>
        <v>1</v>
      </c>
      <c r="L38">
        <f t="shared" si="16"/>
        <v>1</v>
      </c>
      <c r="M38">
        <f t="shared" si="17"/>
        <v>1</v>
      </c>
      <c r="N38">
        <f t="shared" si="18"/>
        <v>1</v>
      </c>
      <c r="O38">
        <f t="shared" si="19"/>
        <v>1</v>
      </c>
      <c r="P38">
        <f t="shared" si="20"/>
        <v>1</v>
      </c>
      <c r="Q38">
        <f t="shared" si="21"/>
        <v>7</v>
      </c>
      <c r="R38">
        <f t="shared" si="22"/>
        <v>3</v>
      </c>
      <c r="S38">
        <f t="shared" si="11"/>
        <v>253</v>
      </c>
    </row>
    <row r="39" spans="1:19" x14ac:dyDescent="0.2">
      <c r="A39">
        <v>0</v>
      </c>
      <c r="B39">
        <v>0</v>
      </c>
      <c r="C39">
        <v>1</v>
      </c>
      <c r="D39">
        <v>0</v>
      </c>
      <c r="E39">
        <v>1</v>
      </c>
      <c r="F39">
        <v>1</v>
      </c>
      <c r="H39">
        <f t="shared" si="12"/>
        <v>0</v>
      </c>
      <c r="I39">
        <f t="shared" si="13"/>
        <v>0</v>
      </c>
      <c r="J39">
        <f t="shared" si="14"/>
        <v>1</v>
      </c>
      <c r="K39">
        <f t="shared" si="15"/>
        <v>1</v>
      </c>
      <c r="L39">
        <f t="shared" si="16"/>
        <v>1</v>
      </c>
      <c r="M39">
        <f t="shared" si="17"/>
        <v>1</v>
      </c>
      <c r="N39">
        <f t="shared" si="18"/>
        <v>1</v>
      </c>
      <c r="O39">
        <f t="shared" si="19"/>
        <v>1</v>
      </c>
      <c r="P39">
        <f t="shared" si="20"/>
        <v>1</v>
      </c>
      <c r="Q39">
        <f t="shared" si="21"/>
        <v>7</v>
      </c>
      <c r="R39">
        <f t="shared" si="22"/>
        <v>3</v>
      </c>
      <c r="S39">
        <f t="shared" si="11"/>
        <v>253</v>
      </c>
    </row>
    <row r="40" spans="1:19" x14ac:dyDescent="0.2">
      <c r="A40">
        <v>0</v>
      </c>
      <c r="B40">
        <v>1</v>
      </c>
      <c r="C40">
        <v>1</v>
      </c>
      <c r="D40">
        <v>0</v>
      </c>
      <c r="E40">
        <v>1</v>
      </c>
      <c r="F40">
        <v>0</v>
      </c>
      <c r="H40">
        <f t="shared" si="12"/>
        <v>0</v>
      </c>
      <c r="I40">
        <f t="shared" si="13"/>
        <v>1</v>
      </c>
      <c r="J40">
        <f t="shared" si="14"/>
        <v>1</v>
      </c>
      <c r="K40">
        <f t="shared" si="15"/>
        <v>1</v>
      </c>
      <c r="L40">
        <f t="shared" si="16"/>
        <v>1</v>
      </c>
      <c r="M40">
        <f t="shared" si="17"/>
        <v>1</v>
      </c>
      <c r="N40">
        <f t="shared" si="18"/>
        <v>0</v>
      </c>
      <c r="O40">
        <f t="shared" si="19"/>
        <v>1</v>
      </c>
      <c r="P40">
        <f t="shared" si="20"/>
        <v>1</v>
      </c>
      <c r="Q40">
        <f t="shared" si="21"/>
        <v>7</v>
      </c>
      <c r="R40">
        <f t="shared" si="22"/>
        <v>3</v>
      </c>
      <c r="S40">
        <f t="shared" si="11"/>
        <v>253</v>
      </c>
    </row>
    <row r="41" spans="1:19" x14ac:dyDescent="0.2">
      <c r="A41">
        <v>0</v>
      </c>
      <c r="B41">
        <v>1</v>
      </c>
      <c r="C41">
        <v>1</v>
      </c>
      <c r="D41">
        <v>0</v>
      </c>
      <c r="E41">
        <v>0</v>
      </c>
      <c r="F41">
        <v>1</v>
      </c>
      <c r="H41">
        <f t="shared" si="12"/>
        <v>0</v>
      </c>
      <c r="I41">
        <f t="shared" si="13"/>
        <v>1</v>
      </c>
      <c r="J41">
        <f t="shared" si="14"/>
        <v>1</v>
      </c>
      <c r="K41">
        <f t="shared" si="15"/>
        <v>0</v>
      </c>
      <c r="L41">
        <f t="shared" si="16"/>
        <v>1</v>
      </c>
      <c r="M41">
        <f t="shared" si="17"/>
        <v>1</v>
      </c>
      <c r="N41">
        <f t="shared" si="18"/>
        <v>1</v>
      </c>
      <c r="O41">
        <f t="shared" si="19"/>
        <v>1</v>
      </c>
      <c r="P41">
        <f t="shared" si="20"/>
        <v>1</v>
      </c>
      <c r="Q41">
        <f t="shared" si="21"/>
        <v>7</v>
      </c>
      <c r="R41">
        <f t="shared" si="22"/>
        <v>3</v>
      </c>
      <c r="S41">
        <f t="shared" si="11"/>
        <v>253</v>
      </c>
    </row>
    <row r="42" spans="1:19" x14ac:dyDescent="0.2">
      <c r="A42">
        <v>1</v>
      </c>
      <c r="B42">
        <v>1</v>
      </c>
      <c r="C42">
        <v>0</v>
      </c>
      <c r="D42">
        <v>1</v>
      </c>
      <c r="E42">
        <v>1</v>
      </c>
      <c r="F42">
        <v>0</v>
      </c>
      <c r="H42">
        <f t="shared" si="12"/>
        <v>1</v>
      </c>
      <c r="I42">
        <f t="shared" si="13"/>
        <v>1</v>
      </c>
      <c r="J42">
        <f t="shared" si="14"/>
        <v>1</v>
      </c>
      <c r="K42">
        <f t="shared" si="15"/>
        <v>1</v>
      </c>
      <c r="L42">
        <f t="shared" si="16"/>
        <v>1</v>
      </c>
      <c r="M42">
        <f t="shared" si="17"/>
        <v>1</v>
      </c>
      <c r="N42">
        <f t="shared" si="18"/>
        <v>1</v>
      </c>
      <c r="O42">
        <f t="shared" si="19"/>
        <v>1</v>
      </c>
      <c r="P42">
        <f t="shared" si="20"/>
        <v>0</v>
      </c>
      <c r="Q42">
        <f t="shared" si="21"/>
        <v>8</v>
      </c>
      <c r="R42">
        <f t="shared" si="22"/>
        <v>4</v>
      </c>
      <c r="S42">
        <f t="shared" si="11"/>
        <v>22</v>
      </c>
    </row>
    <row r="43" spans="1:19" x14ac:dyDescent="0.2">
      <c r="A43">
        <v>1</v>
      </c>
      <c r="B43">
        <v>1</v>
      </c>
      <c r="C43">
        <v>0</v>
      </c>
      <c r="D43">
        <v>1</v>
      </c>
      <c r="E43">
        <v>0</v>
      </c>
      <c r="F43">
        <v>1</v>
      </c>
      <c r="H43">
        <f t="shared" si="12"/>
        <v>1</v>
      </c>
      <c r="I43">
        <f t="shared" si="13"/>
        <v>1</v>
      </c>
      <c r="J43">
        <f t="shared" si="14"/>
        <v>1</v>
      </c>
      <c r="K43">
        <f t="shared" si="15"/>
        <v>1</v>
      </c>
      <c r="L43">
        <f t="shared" si="16"/>
        <v>1</v>
      </c>
      <c r="M43">
        <f t="shared" si="17"/>
        <v>0</v>
      </c>
      <c r="N43">
        <f t="shared" si="18"/>
        <v>1</v>
      </c>
      <c r="O43">
        <f t="shared" si="19"/>
        <v>1</v>
      </c>
      <c r="P43">
        <f t="shared" si="20"/>
        <v>1</v>
      </c>
      <c r="Q43">
        <f t="shared" si="21"/>
        <v>8</v>
      </c>
      <c r="R43">
        <f t="shared" si="22"/>
        <v>4</v>
      </c>
      <c r="S43">
        <f t="shared" si="11"/>
        <v>22</v>
      </c>
    </row>
    <row r="44" spans="1:19" x14ac:dyDescent="0.2">
      <c r="A44">
        <v>1</v>
      </c>
      <c r="B44">
        <v>1</v>
      </c>
      <c r="C44">
        <v>0</v>
      </c>
      <c r="D44">
        <v>0</v>
      </c>
      <c r="E44">
        <v>1</v>
      </c>
      <c r="F44">
        <v>1</v>
      </c>
      <c r="H44">
        <f t="shared" si="12"/>
        <v>1</v>
      </c>
      <c r="I44">
        <f t="shared" si="13"/>
        <v>1</v>
      </c>
      <c r="J44">
        <f t="shared" si="14"/>
        <v>0</v>
      </c>
      <c r="K44">
        <f t="shared" si="15"/>
        <v>1</v>
      </c>
      <c r="L44">
        <f t="shared" si="16"/>
        <v>1</v>
      </c>
      <c r="M44">
        <f t="shared" si="17"/>
        <v>1</v>
      </c>
      <c r="N44">
        <f t="shared" si="18"/>
        <v>1</v>
      </c>
      <c r="O44">
        <f t="shared" si="19"/>
        <v>1</v>
      </c>
      <c r="P44">
        <f t="shared" si="20"/>
        <v>1</v>
      </c>
      <c r="Q44">
        <f t="shared" si="21"/>
        <v>8</v>
      </c>
      <c r="R44">
        <f t="shared" si="22"/>
        <v>4</v>
      </c>
      <c r="S44">
        <f t="shared" si="11"/>
        <v>22</v>
      </c>
    </row>
    <row r="45" spans="1:19" x14ac:dyDescent="0.2">
      <c r="A45">
        <v>1</v>
      </c>
      <c r="B45">
        <v>0</v>
      </c>
      <c r="C45">
        <v>1</v>
      </c>
      <c r="D45">
        <v>1</v>
      </c>
      <c r="E45">
        <v>1</v>
      </c>
      <c r="F45">
        <v>0</v>
      </c>
      <c r="H45">
        <f t="shared" si="12"/>
        <v>1</v>
      </c>
      <c r="I45">
        <f t="shared" si="13"/>
        <v>1</v>
      </c>
      <c r="J45">
        <f t="shared" si="14"/>
        <v>1</v>
      </c>
      <c r="K45">
        <f t="shared" si="15"/>
        <v>1</v>
      </c>
      <c r="L45">
        <f t="shared" si="16"/>
        <v>1</v>
      </c>
      <c r="M45">
        <f t="shared" si="17"/>
        <v>1</v>
      </c>
      <c r="N45">
        <f t="shared" si="18"/>
        <v>1</v>
      </c>
      <c r="O45">
        <f t="shared" si="19"/>
        <v>0</v>
      </c>
      <c r="P45">
        <f t="shared" si="20"/>
        <v>1</v>
      </c>
      <c r="Q45">
        <f t="shared" si="21"/>
        <v>8</v>
      </c>
      <c r="R45">
        <f t="shared" si="22"/>
        <v>4</v>
      </c>
      <c r="S45">
        <f t="shared" si="11"/>
        <v>22</v>
      </c>
    </row>
    <row r="46" spans="1:19" x14ac:dyDescent="0.2">
      <c r="A46">
        <v>1</v>
      </c>
      <c r="B46">
        <v>0</v>
      </c>
      <c r="C46">
        <v>1</v>
      </c>
      <c r="D46">
        <v>1</v>
      </c>
      <c r="E46">
        <v>0</v>
      </c>
      <c r="F46">
        <v>1</v>
      </c>
      <c r="H46">
        <f t="shared" si="12"/>
        <v>1</v>
      </c>
      <c r="I46">
        <f t="shared" si="13"/>
        <v>1</v>
      </c>
      <c r="J46">
        <f t="shared" si="14"/>
        <v>1</v>
      </c>
      <c r="K46">
        <f t="shared" si="15"/>
        <v>1</v>
      </c>
      <c r="L46">
        <f t="shared" si="16"/>
        <v>0</v>
      </c>
      <c r="M46">
        <f t="shared" si="17"/>
        <v>1</v>
      </c>
      <c r="N46">
        <f t="shared" si="18"/>
        <v>1</v>
      </c>
      <c r="O46">
        <f t="shared" si="19"/>
        <v>1</v>
      </c>
      <c r="P46">
        <f t="shared" si="20"/>
        <v>1</v>
      </c>
      <c r="Q46">
        <f t="shared" si="21"/>
        <v>8</v>
      </c>
      <c r="R46">
        <f t="shared" si="22"/>
        <v>4</v>
      </c>
      <c r="S46">
        <f t="shared" si="11"/>
        <v>22</v>
      </c>
    </row>
    <row r="47" spans="1:19" x14ac:dyDescent="0.2">
      <c r="A47">
        <v>1</v>
      </c>
      <c r="B47">
        <v>0</v>
      </c>
      <c r="C47">
        <v>1</v>
      </c>
      <c r="D47">
        <v>0</v>
      </c>
      <c r="E47">
        <v>1</v>
      </c>
      <c r="F47">
        <v>1</v>
      </c>
      <c r="H47">
        <f t="shared" si="12"/>
        <v>1</v>
      </c>
      <c r="I47">
        <f t="shared" si="13"/>
        <v>0</v>
      </c>
      <c r="J47">
        <f t="shared" si="14"/>
        <v>1</v>
      </c>
      <c r="K47">
        <f t="shared" si="15"/>
        <v>1</v>
      </c>
      <c r="L47">
        <f t="shared" si="16"/>
        <v>1</v>
      </c>
      <c r="M47">
        <f t="shared" si="17"/>
        <v>1</v>
      </c>
      <c r="N47">
        <f t="shared" si="18"/>
        <v>1</v>
      </c>
      <c r="O47">
        <f t="shared" si="19"/>
        <v>1</v>
      </c>
      <c r="P47">
        <f t="shared" si="20"/>
        <v>1</v>
      </c>
      <c r="Q47">
        <f t="shared" si="21"/>
        <v>8</v>
      </c>
      <c r="R47">
        <f t="shared" si="22"/>
        <v>4</v>
      </c>
      <c r="S47">
        <f t="shared" si="11"/>
        <v>22</v>
      </c>
    </row>
    <row r="48" spans="1:19" x14ac:dyDescent="0.2">
      <c r="A48">
        <v>0</v>
      </c>
      <c r="B48">
        <v>1</v>
      </c>
      <c r="C48">
        <v>1</v>
      </c>
      <c r="D48">
        <v>1</v>
      </c>
      <c r="E48">
        <v>1</v>
      </c>
      <c r="F48">
        <v>0</v>
      </c>
      <c r="H48">
        <f t="shared" si="12"/>
        <v>1</v>
      </c>
      <c r="I48">
        <f t="shared" si="13"/>
        <v>1</v>
      </c>
      <c r="J48">
        <f t="shared" si="14"/>
        <v>1</v>
      </c>
      <c r="K48">
        <f t="shared" si="15"/>
        <v>1</v>
      </c>
      <c r="L48">
        <f t="shared" si="16"/>
        <v>1</v>
      </c>
      <c r="M48">
        <f t="shared" si="17"/>
        <v>1</v>
      </c>
      <c r="N48">
        <f t="shared" si="18"/>
        <v>0</v>
      </c>
      <c r="O48">
        <f t="shared" si="19"/>
        <v>1</v>
      </c>
      <c r="P48">
        <f t="shared" si="20"/>
        <v>1</v>
      </c>
      <c r="Q48">
        <f t="shared" si="21"/>
        <v>8</v>
      </c>
      <c r="R48">
        <f t="shared" si="22"/>
        <v>4</v>
      </c>
      <c r="S48">
        <f t="shared" si="11"/>
        <v>22</v>
      </c>
    </row>
    <row r="49" spans="1:19" x14ac:dyDescent="0.2">
      <c r="A49">
        <v>0</v>
      </c>
      <c r="B49">
        <v>1</v>
      </c>
      <c r="C49">
        <v>1</v>
      </c>
      <c r="D49">
        <v>1</v>
      </c>
      <c r="E49">
        <v>0</v>
      </c>
      <c r="F49">
        <v>1</v>
      </c>
      <c r="H49">
        <f t="shared" si="12"/>
        <v>1</v>
      </c>
      <c r="I49">
        <f t="shared" si="13"/>
        <v>1</v>
      </c>
      <c r="J49">
        <f t="shared" si="14"/>
        <v>1</v>
      </c>
      <c r="K49">
        <f t="shared" si="15"/>
        <v>0</v>
      </c>
      <c r="L49">
        <f t="shared" si="16"/>
        <v>1</v>
      </c>
      <c r="M49">
        <f t="shared" si="17"/>
        <v>1</v>
      </c>
      <c r="N49">
        <f t="shared" si="18"/>
        <v>1</v>
      </c>
      <c r="O49">
        <f t="shared" si="19"/>
        <v>1</v>
      </c>
      <c r="P49">
        <f t="shared" si="20"/>
        <v>1</v>
      </c>
      <c r="Q49">
        <f t="shared" si="21"/>
        <v>8</v>
      </c>
      <c r="R49">
        <f t="shared" si="22"/>
        <v>4</v>
      </c>
      <c r="S49">
        <f t="shared" si="11"/>
        <v>22</v>
      </c>
    </row>
    <row r="50" spans="1:19" x14ac:dyDescent="0.2">
      <c r="A50">
        <v>0</v>
      </c>
      <c r="B50">
        <v>1</v>
      </c>
      <c r="C50">
        <v>1</v>
      </c>
      <c r="D50">
        <v>0</v>
      </c>
      <c r="E50">
        <v>1</v>
      </c>
      <c r="F50">
        <v>1</v>
      </c>
      <c r="H50">
        <f t="shared" si="12"/>
        <v>0</v>
      </c>
      <c r="I50">
        <f t="shared" si="13"/>
        <v>1</v>
      </c>
      <c r="J50">
        <f t="shared" si="14"/>
        <v>1</v>
      </c>
      <c r="K50">
        <f t="shared" si="15"/>
        <v>1</v>
      </c>
      <c r="L50">
        <f t="shared" si="16"/>
        <v>1</v>
      </c>
      <c r="M50">
        <f t="shared" si="17"/>
        <v>1</v>
      </c>
      <c r="N50">
        <f t="shared" si="18"/>
        <v>1</v>
      </c>
      <c r="O50">
        <f t="shared" si="19"/>
        <v>1</v>
      </c>
      <c r="P50">
        <f t="shared" si="20"/>
        <v>1</v>
      </c>
      <c r="Q50">
        <f t="shared" si="21"/>
        <v>8</v>
      </c>
      <c r="R50">
        <f t="shared" si="22"/>
        <v>4</v>
      </c>
      <c r="S50">
        <f t="shared" si="11"/>
        <v>22</v>
      </c>
    </row>
    <row r="51" spans="1:19" x14ac:dyDescent="0.2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H51">
        <f t="shared" si="12"/>
        <v>1</v>
      </c>
      <c r="I51">
        <f t="shared" si="13"/>
        <v>1</v>
      </c>
      <c r="J51">
        <f t="shared" si="14"/>
        <v>1</v>
      </c>
      <c r="K51">
        <f t="shared" si="15"/>
        <v>1</v>
      </c>
      <c r="L51">
        <f t="shared" si="16"/>
        <v>1</v>
      </c>
      <c r="M51">
        <f t="shared" si="17"/>
        <v>1</v>
      </c>
      <c r="N51">
        <f t="shared" si="18"/>
        <v>1</v>
      </c>
      <c r="O51">
        <f t="shared" si="19"/>
        <v>1</v>
      </c>
      <c r="P51">
        <f t="shared" si="20"/>
        <v>1</v>
      </c>
      <c r="Q51">
        <f t="shared" si="21"/>
        <v>9</v>
      </c>
      <c r="R51">
        <f t="shared" si="22"/>
        <v>6</v>
      </c>
      <c r="S51">
        <f t="shared" si="11"/>
        <v>1</v>
      </c>
    </row>
    <row r="52" spans="1:19" hidden="1" x14ac:dyDescent="0.2"/>
    <row r="53" spans="1:19" hidden="1" x14ac:dyDescent="0.2"/>
    <row r="54" spans="1:19" hidden="1" x14ac:dyDescent="0.2"/>
    <row r="55" spans="1:19" hidden="1" x14ac:dyDescent="0.2"/>
    <row r="56" spans="1:19" hidden="1" x14ac:dyDescent="0.2"/>
    <row r="57" spans="1:19" hidden="1" x14ac:dyDescent="0.2"/>
    <row r="58" spans="1:19" hidden="1" x14ac:dyDescent="0.2"/>
    <row r="59" spans="1:19" hidden="1" x14ac:dyDescent="0.2"/>
    <row r="60" spans="1:19" hidden="1" x14ac:dyDescent="0.2"/>
    <row r="61" spans="1:19" hidden="1" x14ac:dyDescent="0.2"/>
    <row r="62" spans="1:19" hidden="1" x14ac:dyDescent="0.2"/>
    <row r="63" spans="1:19" hidden="1" x14ac:dyDescent="0.2"/>
    <row r="64" spans="1:19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</sheetData>
  <autoFilter ref="A1:R513" xr:uid="{D355A439-177C-46B6-85F0-654C705EDD23}">
    <filterColumn colId="0">
      <customFilters>
        <customFilter operator="notEqual" val=" "/>
      </customFilters>
    </filterColumn>
  </autoFilter>
  <sortState xmlns:xlrd2="http://schemas.microsoft.com/office/spreadsheetml/2017/richdata2" ref="A2:R51">
    <sortCondition ref="Q2:Q5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65D99-A58F-4C21-8050-D5FAF9B69085}">
  <dimension ref="A1:T36"/>
  <sheetViews>
    <sheetView topLeftCell="D1" workbookViewId="0">
      <selection activeCell="P14" sqref="P14:P18"/>
    </sheetView>
  </sheetViews>
  <sheetFormatPr defaultRowHeight="14.25" x14ac:dyDescent="0.2"/>
  <cols>
    <col min="5" max="5" width="10.5" bestFit="1" customWidth="1"/>
    <col min="6" max="6" width="23.5" bestFit="1" customWidth="1"/>
    <col min="7" max="7" width="10.5" bestFit="1" customWidth="1"/>
    <col min="8" max="8" width="16.5" bestFit="1" customWidth="1"/>
    <col min="9" max="9" width="13" bestFit="1" customWidth="1"/>
    <col min="15" max="15" width="11.875" bestFit="1" customWidth="1"/>
  </cols>
  <sheetData>
    <row r="1" spans="1:20" ht="16.5" x14ac:dyDescent="0.2">
      <c r="A1" s="3" t="s">
        <v>36</v>
      </c>
      <c r="B1" s="5" t="s">
        <v>37</v>
      </c>
      <c r="C1" s="3" t="s">
        <v>40</v>
      </c>
      <c r="D1" s="5" t="s">
        <v>41</v>
      </c>
      <c r="E1" s="5" t="s">
        <v>42</v>
      </c>
      <c r="F1" t="s">
        <v>17</v>
      </c>
      <c r="G1" t="s">
        <v>18</v>
      </c>
      <c r="H1" t="s">
        <v>19</v>
      </c>
      <c r="I1" t="s">
        <v>20</v>
      </c>
      <c r="J1" s="5" t="s">
        <v>43</v>
      </c>
    </row>
    <row r="2" spans="1:20" x14ac:dyDescent="0.2">
      <c r="A2">
        <v>9</v>
      </c>
      <c r="B2">
        <v>0</v>
      </c>
      <c r="C2">
        <v>0</v>
      </c>
      <c r="D2">
        <f>COUNTIFS('ball combine if not wild'!Q:Q,"="&amp;'rtp before multiplier'!B2,'ball combine if not wild'!R:R,"="&amp;'rtp before multiplier'!C2)</f>
        <v>1</v>
      </c>
      <c r="E2">
        <f>SUMIFS('ball combine if not wild'!S:S,'ball combine if not wild'!Q:Q,"="&amp;'rtp before multiplier'!B2,'ball combine if not wild'!R:R,"="&amp;'rtp before multiplier'!C2)/D2</f>
        <v>14307150.000000004</v>
      </c>
      <c r="G2">
        <f>E2-SUM(G3:G8)</f>
        <v>12652727.000000004</v>
      </c>
      <c r="H2" s="7">
        <f>G2/$E$2</f>
        <v>0.8843639019651014</v>
      </c>
    </row>
    <row r="3" spans="1:20" x14ac:dyDescent="0.2">
      <c r="A3">
        <v>9</v>
      </c>
      <c r="B3">
        <v>3</v>
      </c>
      <c r="C3">
        <v>1</v>
      </c>
      <c r="D3">
        <f>COUNTIFS('ball combine if not wild'!Q:Q,"="&amp;'rtp before multiplier'!B3,'ball combine if not wild'!R:R,"="&amp;'rtp before multiplier'!C3)</f>
        <v>6</v>
      </c>
      <c r="E3">
        <f>SUMIFS('ball combine if not wild'!S:S,'ball combine if not wild'!Q:Q,"="&amp;'rtp before multiplier'!B3,'ball combine if not wild'!R:R,"="&amp;'rtp before multiplier'!C3)/D3</f>
        <v>296010</v>
      </c>
      <c r="F3">
        <f>E3-F4*3-F5*2-F6*9-F7*6-E8</f>
        <v>256158</v>
      </c>
      <c r="G3">
        <f>F3*D3</f>
        <v>1536948</v>
      </c>
      <c r="H3" s="7">
        <f t="shared" ref="H3:H8" si="0">G3/$E$2</f>
        <v>0.10742516853461379</v>
      </c>
      <c r="I3">
        <v>2</v>
      </c>
      <c r="J3">
        <f>H3*I3</f>
        <v>0.21485033706922757</v>
      </c>
      <c r="P3">
        <v>9</v>
      </c>
      <c r="Q3">
        <v>10</v>
      </c>
      <c r="R3">
        <v>11</v>
      </c>
      <c r="S3">
        <v>12</v>
      </c>
      <c r="T3">
        <v>13</v>
      </c>
    </row>
    <row r="4" spans="1:20" ht="16.5" x14ac:dyDescent="0.2">
      <c r="A4">
        <v>9</v>
      </c>
      <c r="B4">
        <v>5</v>
      </c>
      <c r="C4">
        <v>2</v>
      </c>
      <c r="D4">
        <f>COUNTIFS('ball combine if not wild'!Q:Q,"="&amp;'rtp before multiplier'!B4,'ball combine if not wild'!R:R,"="&amp;'rtp before multiplier'!C4)</f>
        <v>9</v>
      </c>
      <c r="E4">
        <f>SUMIFS('ball combine if not wild'!S:S,'ball combine if not wild'!Q:Q,"="&amp;'rtp before multiplier'!B4,'ball combine if not wild'!R:R,"="&amp;'rtp before multiplier'!C4)/D4</f>
        <v>12650.000000000002</v>
      </c>
      <c r="F4">
        <f>E4-F6*4-F7*4-E8</f>
        <v>11725.000000000002</v>
      </c>
      <c r="G4">
        <f t="shared" ref="G4:G8" si="1">F4*D4</f>
        <v>105525.00000000001</v>
      </c>
      <c r="H4" s="7">
        <f t="shared" si="0"/>
        <v>7.3756827879766403E-3</v>
      </c>
      <c r="I4">
        <v>5</v>
      </c>
      <c r="J4">
        <f t="shared" ref="J4:J8" si="2">H4*I4</f>
        <v>3.6878413939883198E-2</v>
      </c>
      <c r="O4" s="5" t="s">
        <v>49</v>
      </c>
      <c r="P4">
        <v>0.70967741935483875</v>
      </c>
      <c r="Q4">
        <v>8.7096774193548387E-2</v>
      </c>
      <c r="R4">
        <v>0.11612903225806454</v>
      </c>
      <c r="S4">
        <v>5.8064516129032268E-2</v>
      </c>
      <c r="T4">
        <v>2.9032258064516134E-2</v>
      </c>
    </row>
    <row r="5" spans="1:20" x14ac:dyDescent="0.2">
      <c r="A5">
        <v>9</v>
      </c>
      <c r="B5">
        <v>6</v>
      </c>
      <c r="C5">
        <v>2</v>
      </c>
      <c r="D5">
        <f>COUNTIFS('ball combine if not wild'!Q:Q,"="&amp;'rtp before multiplier'!B5,'ball combine if not wild'!R:R,"="&amp;'rtp before multiplier'!C5)</f>
        <v>6</v>
      </c>
      <c r="E5">
        <f>SUMIFS('ball combine if not wild'!S:S,'ball combine if not wild'!Q:Q,"="&amp;'rtp before multiplier'!B5,'ball combine if not wild'!R:R,"="&amp;'rtp before multiplier'!C5)/D5</f>
        <v>2024.0000000000002</v>
      </c>
      <c r="F5">
        <f>E5-F6*3-F7*3-E8</f>
        <v>1330.0000000000002</v>
      </c>
      <c r="G5">
        <f t="shared" si="1"/>
        <v>7980.0000000000018</v>
      </c>
      <c r="H5" s="7">
        <f t="shared" si="0"/>
        <v>5.5776307650370622E-4</v>
      </c>
      <c r="I5">
        <v>5</v>
      </c>
      <c r="J5">
        <f t="shared" si="2"/>
        <v>2.7888153825185312E-3</v>
      </c>
      <c r="O5">
        <v>1</v>
      </c>
      <c r="P5" cm="1">
        <f t="array" ref="P5">INDEX($H:$H,MATCH(1,($A:$A=P$3)*($C:$C=$O5),0))</f>
        <v>0.10742516853461379</v>
      </c>
      <c r="Q5" cm="1">
        <f t="array" ref="Q5">INDEX($H:$H,MATCH(1,($A:$A=Q$3)*($C:$C=$O5),0))</f>
        <v>0.14417606381624373</v>
      </c>
      <c r="R5" cm="1">
        <f t="array" ref="R5">INDEX($H:$H,MATCH(1,($A:$A=R$3)*($C:$C=$O5),0))</f>
        <v>0.18391156070316492</v>
      </c>
      <c r="S5" cm="1">
        <f t="array" ref="S5">INDEX($H:$H,MATCH(1,($A:$A=S$3)*($C:$C=$O5),0))</f>
        <v>0.22446710710578777</v>
      </c>
      <c r="T5" cm="1">
        <f t="array" ref="T5">INDEX($H:$H,MATCH(1,($A:$A=T$3)*($C:$C=$O5),0))</f>
        <v>0.26331976868708501</v>
      </c>
    </row>
    <row r="6" spans="1:20" x14ac:dyDescent="0.2">
      <c r="A6">
        <v>9</v>
      </c>
      <c r="B6">
        <v>7</v>
      </c>
      <c r="C6">
        <v>3</v>
      </c>
      <c r="D6">
        <f>COUNTIFS('ball combine if not wild'!Q:Q,"="&amp;'rtp before multiplier'!B6,'ball combine if not wild'!R:R,"="&amp;'rtp before multiplier'!C6)</f>
        <v>18</v>
      </c>
      <c r="E6">
        <f>SUMIFS('ball combine if not wild'!S:S,'ball combine if not wild'!Q:Q,"="&amp;'rtp before multiplier'!B6,'ball combine if not wild'!R:R,"="&amp;'rtp before multiplier'!C6)/D6</f>
        <v>253</v>
      </c>
      <c r="F6">
        <f>E6-F7*2-E8</f>
        <v>210</v>
      </c>
      <c r="G6">
        <f t="shared" si="1"/>
        <v>3780</v>
      </c>
      <c r="H6" s="7">
        <f t="shared" si="0"/>
        <v>2.642035625543871E-4</v>
      </c>
      <c r="I6">
        <v>25</v>
      </c>
      <c r="J6">
        <f t="shared" si="2"/>
        <v>6.6050890638596777E-3</v>
      </c>
      <c r="O6">
        <v>2</v>
      </c>
      <c r="P6" cm="1">
        <f t="array" ref="P6">INDEX($H:$H,MATCH(1,($A:$A=P$3)*($C:$C=$O6),0))</f>
        <v>7.3756827879766403E-3</v>
      </c>
      <c r="Q6" cm="1">
        <f t="array" ref="Q6">INDEX($H:$H,MATCH(1,($A:$A=Q$3)*($C:$C=$O6),0))</f>
        <v>1.4063597571843446E-2</v>
      </c>
      <c r="R6" cm="1">
        <f t="array" ref="R6">INDEX($H:$H,MATCH(1,($A:$A=R$3)*($C:$C=$O6),0))</f>
        <v>2.4322454157536623E-2</v>
      </c>
      <c r="S6" cm="1">
        <f t="array" ref="S6">INDEX($H:$H,MATCH(1,($A:$A=S$3)*($C:$C=$O6),0))</f>
        <v>3.891988071898117E-2</v>
      </c>
      <c r="T6" cm="1">
        <f t="array" ref="T6">INDEX($H:$H,MATCH(1,($A:$A=T$3)*($C:$C=$O6),0))</f>
        <v>5.8402227457699719E-2</v>
      </c>
    </row>
    <row r="7" spans="1:20" x14ac:dyDescent="0.2">
      <c r="A7">
        <v>9</v>
      </c>
      <c r="B7">
        <v>8</v>
      </c>
      <c r="C7">
        <v>4</v>
      </c>
      <c r="D7">
        <f>COUNTIFS('ball combine if not wild'!Q:Q,"="&amp;'rtp before multiplier'!B7,'ball combine if not wild'!R:R,"="&amp;'rtp before multiplier'!C7)</f>
        <v>9</v>
      </c>
      <c r="E7">
        <f>SUMIFS('ball combine if not wild'!S:S,'ball combine if not wild'!Q:Q,"="&amp;'rtp before multiplier'!B7,'ball combine if not wild'!R:R,"="&amp;'rtp before multiplier'!C7)/D7</f>
        <v>22</v>
      </c>
      <c r="F7">
        <f>E7-E8</f>
        <v>21</v>
      </c>
      <c r="G7">
        <f t="shared" si="1"/>
        <v>189</v>
      </c>
      <c r="H7" s="7">
        <f t="shared" si="0"/>
        <v>1.3210178127719354E-5</v>
      </c>
      <c r="I7">
        <v>50</v>
      </c>
      <c r="J7">
        <f t="shared" si="2"/>
        <v>6.6050890638596766E-4</v>
      </c>
      <c r="O7">
        <v>3</v>
      </c>
      <c r="P7" cm="1">
        <f t="array" ref="P7">INDEX($H:$H,MATCH(1,($A:$A=P$3)*($C:$C=$O7),0))</f>
        <v>2.642035625543871E-4</v>
      </c>
      <c r="Q7" cm="1">
        <f t="array" ref="Q7">INDEX($H:$H,MATCH(1,($A:$A=Q$3)*($C:$C=$O7),0))</f>
        <v>7.9680439500529456E-4</v>
      </c>
      <c r="R7" cm="1">
        <f t="array" ref="R7">INDEX($H:$H,MATCH(1,($A:$A=R$3)*($C:$C=$O7),0))</f>
        <v>1.9720908776381047E-3</v>
      </c>
      <c r="S7" cm="1">
        <f t="array" ref="S7">INDEX($H:$H,MATCH(1,($A:$A=S$3)*($C:$C=$O7),0))</f>
        <v>4.2348056740860347E-3</v>
      </c>
      <c r="T7" cm="1">
        <f t="array" ref="T7">INDEX($H:$H,MATCH(1,($A:$A=T$3)*($C:$C=$O7),0))</f>
        <v>8.1559220389805093E-3</v>
      </c>
    </row>
    <row r="8" spans="1:20" x14ac:dyDescent="0.2">
      <c r="A8">
        <v>9</v>
      </c>
      <c r="B8">
        <v>9</v>
      </c>
      <c r="C8">
        <v>6</v>
      </c>
      <c r="D8">
        <f>COUNTIFS('ball combine if not wild'!Q:Q,"="&amp;'rtp before multiplier'!B8,'ball combine if not wild'!R:R,"="&amp;'rtp before multiplier'!C8)</f>
        <v>1</v>
      </c>
      <c r="E8">
        <f>SUMIFS('ball combine if not wild'!S:S,'ball combine if not wild'!Q:Q,"="&amp;'rtp before multiplier'!B8,'ball combine if not wild'!R:R,"="&amp;'rtp before multiplier'!C8)/D8</f>
        <v>1</v>
      </c>
      <c r="F8">
        <f>E8</f>
        <v>1</v>
      </c>
      <c r="G8">
        <f t="shared" si="1"/>
        <v>1</v>
      </c>
      <c r="H8" s="7">
        <f t="shared" si="0"/>
        <v>6.9895122368885466E-8</v>
      </c>
      <c r="I8">
        <v>250</v>
      </c>
      <c r="J8">
        <f t="shared" si="2"/>
        <v>1.7473780592221368E-5</v>
      </c>
      <c r="O8">
        <v>4</v>
      </c>
      <c r="P8" cm="1">
        <f t="array" ref="P8">INDEX($H:$H,MATCH(1,($A:$A=P$3)*($C:$C=$O8),0))</f>
        <v>1.3210178127719354E-5</v>
      </c>
      <c r="Q8" cm="1">
        <f t="array" ref="Q8">INDEX($H:$H,MATCH(1,($A:$A=Q$3)*($C:$C=$O8),0))</f>
        <v>6.2905610131996936E-5</v>
      </c>
      <c r="R8" cm="1">
        <f t="array" ref="R8">INDEX($H:$H,MATCH(1,($A:$A=R$3)*($C:$C=$O8),0))</f>
        <v>2.1912120862645608E-4</v>
      </c>
      <c r="S8" cm="1">
        <f t="array" ref="S8">INDEX($H:$H,MATCH(1,($A:$A=S$3)*($C:$C=$O8),0))</f>
        <v>6.2276554030676954E-4</v>
      </c>
      <c r="T8" cm="1">
        <f t="array" ref="T8">INDEX($H:$H,MATCH(1,($A:$A=T$3)*($C:$C=$O8),0))</f>
        <v>1.5292353823088455E-3</v>
      </c>
    </row>
    <row r="9" spans="1:20" x14ac:dyDescent="0.2">
      <c r="A9">
        <v>10</v>
      </c>
      <c r="B9">
        <v>0</v>
      </c>
      <c r="C9">
        <v>0</v>
      </c>
      <c r="D9">
        <f>COUNTIFS('ball combine if not wild'!Q:Q,"="&amp;'rtp before multiplier'!B9,'ball combine if not wild'!R:R,"="&amp;'rtp before multiplier'!C9)</f>
        <v>1</v>
      </c>
      <c r="E9">
        <f>SUMIFS('ball combine if wild'!S:S,'ball combine if wild'!Q:Q,"="&amp;'rtp before multiplier'!B9,'ball combine if wild'!R:R,"="&amp;'rtp before multiplier'!C9)/D9</f>
        <v>30045015</v>
      </c>
      <c r="G9">
        <f>E9-SUM(G10:G15)</f>
        <v>25228941</v>
      </c>
      <c r="H9" s="7">
        <f>G9/$E$9</f>
        <v>0.83970472306304389</v>
      </c>
      <c r="O9">
        <v>6</v>
      </c>
      <c r="P9" cm="1">
        <f t="array" ref="P9">INDEX($H:$H,MATCH(1,($A:$A=P$3)*($C:$C=$O9),0))</f>
        <v>6.9895122368885466E-8</v>
      </c>
      <c r="Q9" cm="1">
        <f t="array" ref="Q9">INDEX($H:$H,MATCH(1,($A:$A=Q$3)*($C:$C=$O9),0))</f>
        <v>6.9895122368885482E-7</v>
      </c>
      <c r="R9" cm="1">
        <f t="array" ref="R9">INDEX($H:$H,MATCH(1,($A:$A=R$3)*($C:$C=$O9),0))</f>
        <v>3.8442317302887036E-6</v>
      </c>
      <c r="S9" cm="1">
        <f t="array" ref="S9">INDEX($H:$H,MATCH(1,($A:$A=S$3)*($C:$C=$O9),0))</f>
        <v>1.5376926921154804E-5</v>
      </c>
      <c r="T9" cm="1">
        <f t="array" ref="T9">INDEX($H:$H,MATCH(1,($A:$A=T$3)*($C:$C=$O9),0))</f>
        <v>4.9975012493753125E-5</v>
      </c>
    </row>
    <row r="10" spans="1:20" x14ac:dyDescent="0.2">
      <c r="A10">
        <v>10</v>
      </c>
      <c r="B10">
        <v>3</v>
      </c>
      <c r="C10">
        <v>1</v>
      </c>
      <c r="D10">
        <f>COUNTIFS('ball combine if not wild'!Q:Q,"="&amp;'rtp before multiplier'!B10,'ball combine if not wild'!R:R,"="&amp;'rtp before multiplier'!C10)</f>
        <v>6</v>
      </c>
      <c r="E10">
        <f>SUMIFS('ball combine if wild'!S:S,'ball combine if wild'!Q:Q,"="&amp;'rtp before multiplier'!B10,'ball combine if wild'!R:R,"="&amp;'rtp before multiplier'!C10)/D10</f>
        <v>888030</v>
      </c>
      <c r="F10">
        <f>E10-F11*3-F12*2-F13*9-F14*6-E15</f>
        <v>721962</v>
      </c>
      <c r="G10">
        <f>F10*D10</f>
        <v>4331772</v>
      </c>
      <c r="H10" s="7">
        <f t="shared" ref="H10:H15" si="3">G10/$E$9</f>
        <v>0.14417606381624373</v>
      </c>
      <c r="I10">
        <v>2</v>
      </c>
      <c r="J10">
        <f>H10*I10</f>
        <v>0.28835212763248746</v>
      </c>
    </row>
    <row r="11" spans="1:20" x14ac:dyDescent="0.2">
      <c r="A11">
        <v>10</v>
      </c>
      <c r="B11">
        <v>5</v>
      </c>
      <c r="C11">
        <v>2</v>
      </c>
      <c r="D11">
        <f>COUNTIFS('ball combine if not wild'!Q:Q,"="&amp;'rtp before multiplier'!B11,'ball combine if not wild'!R:R,"="&amp;'rtp before multiplier'!C11)</f>
        <v>9</v>
      </c>
      <c r="E11">
        <f>SUMIFS('ball combine if wild'!S:S,'ball combine if wild'!Q:Q,"="&amp;'rtp before multiplier'!B11,'ball combine if wild'!R:R,"="&amp;'rtp before multiplier'!C11)/D11</f>
        <v>53129.999999999993</v>
      </c>
      <c r="F11">
        <f>E11-F13*4-F14*4-E15</f>
        <v>46948.999999999993</v>
      </c>
      <c r="G11">
        <f t="shared" ref="G11:G15" si="4">F11*D11</f>
        <v>422540.99999999994</v>
      </c>
      <c r="H11" s="7">
        <f t="shared" si="3"/>
        <v>1.4063597571843446E-2</v>
      </c>
      <c r="I11">
        <v>5</v>
      </c>
      <c r="J11">
        <f t="shared" ref="J11:J15" si="5">H11*I11</f>
        <v>7.0317987859217237E-2</v>
      </c>
    </row>
    <row r="12" spans="1:20" x14ac:dyDescent="0.2">
      <c r="A12">
        <v>10</v>
      </c>
      <c r="B12">
        <v>6</v>
      </c>
      <c r="C12">
        <v>2</v>
      </c>
      <c r="D12">
        <f>COUNTIFS('ball combine if not wild'!Q:Q,"="&amp;'rtp before multiplier'!B12,'ball combine if not wild'!R:R,"="&amp;'rtp before multiplier'!C12)</f>
        <v>6</v>
      </c>
      <c r="E12">
        <f>SUMIFS('ball combine if wild'!S:S,'ball combine if wild'!Q:Q,"="&amp;'rtp before multiplier'!B12,'ball combine if wild'!R:R,"="&amp;'rtp before multiplier'!C12)/D12</f>
        <v>10626</v>
      </c>
      <c r="F12">
        <f>E12-F13*3-F14*3-E15</f>
        <v>5985</v>
      </c>
      <c r="G12">
        <f t="shared" si="4"/>
        <v>35910</v>
      </c>
      <c r="H12" s="7">
        <f t="shared" si="3"/>
        <v>1.1952065925079419E-3</v>
      </c>
      <c r="I12">
        <v>5</v>
      </c>
      <c r="J12">
        <f t="shared" si="5"/>
        <v>5.9760329625397094E-3</v>
      </c>
    </row>
    <row r="13" spans="1:20" x14ac:dyDescent="0.2">
      <c r="A13">
        <v>10</v>
      </c>
      <c r="B13">
        <v>7</v>
      </c>
      <c r="C13">
        <v>3</v>
      </c>
      <c r="D13">
        <f>COUNTIFS('ball combine if not wild'!Q:Q,"="&amp;'rtp before multiplier'!B13,'ball combine if not wild'!R:R,"="&amp;'rtp before multiplier'!C13)</f>
        <v>18</v>
      </c>
      <c r="E13">
        <f>SUMIFS('ball combine if wild'!S:S,'ball combine if wild'!Q:Q,"="&amp;'rtp before multiplier'!B13,'ball combine if wild'!R:R,"="&amp;'rtp before multiplier'!C13)/D13</f>
        <v>1771</v>
      </c>
      <c r="F13">
        <f>E13-F14*2-E15</f>
        <v>1330</v>
      </c>
      <c r="G13">
        <f t="shared" si="4"/>
        <v>23940</v>
      </c>
      <c r="H13" s="7">
        <f t="shared" si="3"/>
        <v>7.9680439500529456E-4</v>
      </c>
      <c r="I13">
        <v>25</v>
      </c>
      <c r="J13">
        <f t="shared" si="5"/>
        <v>1.9920109875132364E-2</v>
      </c>
    </row>
    <row r="14" spans="1:20" x14ac:dyDescent="0.2">
      <c r="A14">
        <v>10</v>
      </c>
      <c r="B14">
        <v>8</v>
      </c>
      <c r="C14">
        <v>4</v>
      </c>
      <c r="D14">
        <f>COUNTIFS('ball combine if not wild'!Q:Q,"="&amp;'rtp before multiplier'!B14,'ball combine if not wild'!R:R,"="&amp;'rtp before multiplier'!C14)</f>
        <v>9</v>
      </c>
      <c r="E14">
        <f>SUMIFS('ball combine if wild'!S:S,'ball combine if wild'!Q:Q,"="&amp;'rtp before multiplier'!B14,'ball combine if wild'!R:R,"="&amp;'rtp before multiplier'!C14)/D14</f>
        <v>231</v>
      </c>
      <c r="F14">
        <f>E14-E15</f>
        <v>210</v>
      </c>
      <c r="G14">
        <f t="shared" si="4"/>
        <v>1890</v>
      </c>
      <c r="H14" s="7">
        <f t="shared" si="3"/>
        <v>6.2905610131996936E-5</v>
      </c>
      <c r="I14">
        <v>50</v>
      </c>
      <c r="J14">
        <f t="shared" si="5"/>
        <v>3.1452805065998466E-3</v>
      </c>
      <c r="O14">
        <v>1</v>
      </c>
      <c r="P14" s="7">
        <f>SUMPRODUCT($P$4:$T$4,P5:T5)</f>
        <v>0.13083029945824357</v>
      </c>
    </row>
    <row r="15" spans="1:20" x14ac:dyDescent="0.2">
      <c r="A15">
        <v>10</v>
      </c>
      <c r="B15">
        <v>9</v>
      </c>
      <c r="C15">
        <v>6</v>
      </c>
      <c r="D15">
        <f>COUNTIFS('ball combine if not wild'!Q:Q,"="&amp;'rtp before multiplier'!B15,'ball combine if not wild'!R:R,"="&amp;'rtp before multiplier'!C15)</f>
        <v>1</v>
      </c>
      <c r="E15">
        <f>SUMIFS('ball combine if wild'!S:S,'ball combine if wild'!Q:Q,"="&amp;'rtp before multiplier'!B15,'ball combine if wild'!R:R,"="&amp;'rtp before multiplier'!C15)/D15</f>
        <v>21</v>
      </c>
      <c r="F15">
        <f>E15</f>
        <v>21</v>
      </c>
      <c r="G15">
        <f t="shared" si="4"/>
        <v>21</v>
      </c>
      <c r="H15" s="7">
        <f t="shared" si="3"/>
        <v>6.9895122368885482E-7</v>
      </c>
      <c r="I15">
        <v>250</v>
      </c>
      <c r="J15">
        <f t="shared" si="5"/>
        <v>1.7473780592221371E-4</v>
      </c>
      <c r="O15">
        <v>2</v>
      </c>
      <c r="P15" s="7">
        <f t="shared" ref="P15:P18" si="6">SUMPRODUCT($P$4:$T$4,P6:T6)</f>
        <v>1.3239205153312618E-2</v>
      </c>
    </row>
    <row r="16" spans="1:20" x14ac:dyDescent="0.2">
      <c r="A16">
        <v>11</v>
      </c>
      <c r="B16">
        <v>0</v>
      </c>
      <c r="C16">
        <v>0</v>
      </c>
      <c r="D16">
        <f>COUNTIFS('ball combine if not wild'!Q:Q,"="&amp;'rtp before multiplier'!B16,'ball combine if not wild'!R:R,"="&amp;'rtp before multiplier'!C16)</f>
        <v>1</v>
      </c>
      <c r="E16">
        <f>SUMIFS('ball combine if wild'!T:T,'ball combine if wild'!Q:Q,"="&amp;'rtp before multiplier'!B16,'ball combine if wild'!R:R,"="&amp;'rtp before multiplier'!C16)/D16</f>
        <v>54627299.999999978</v>
      </c>
      <c r="G16">
        <f>E16-SUM(G17:G22)</f>
        <v>43010033.999999985</v>
      </c>
      <c r="H16" s="7">
        <f>G16/$E$16</f>
        <v>0.78733589249331382</v>
      </c>
      <c r="O16">
        <v>3</v>
      </c>
      <c r="P16" s="7">
        <f t="shared" si="6"/>
        <v>9.6859217582726822E-4</v>
      </c>
    </row>
    <row r="17" spans="1:16" x14ac:dyDescent="0.2">
      <c r="A17">
        <v>11</v>
      </c>
      <c r="B17">
        <v>3</v>
      </c>
      <c r="C17">
        <v>1</v>
      </c>
      <c r="D17">
        <f>COUNTIFS('ball combine if not wild'!Q:Q,"="&amp;'rtp before multiplier'!B17,'ball combine if not wild'!R:R,"="&amp;'rtp before multiplier'!C17)</f>
        <v>6</v>
      </c>
      <c r="E17">
        <f>SUMIFS('ball combine if wild'!T:T,'ball combine if wild'!Q:Q,"="&amp;'rtp before multiplier'!B17,'ball combine if wild'!R:R,"="&amp;'rtp before multiplier'!C17)/D17</f>
        <v>2220074.9999999995</v>
      </c>
      <c r="F17">
        <f>E17-F18*3-F19*2-F20*9-F21*6-E22</f>
        <v>1674431.9999999995</v>
      </c>
      <c r="G17">
        <f>F17*D17</f>
        <v>10046591.999999996</v>
      </c>
      <c r="H17" s="7">
        <f t="shared" ref="H17:H22" si="7">G17/$E$16</f>
        <v>0.18391156070316492</v>
      </c>
      <c r="I17">
        <v>2</v>
      </c>
      <c r="J17">
        <f>H17*I17</f>
        <v>0.36782312140632983</v>
      </c>
      <c r="O17">
        <v>4</v>
      </c>
      <c r="P17" s="7">
        <f t="shared" si="6"/>
        <v>1.2085791076940665E-4</v>
      </c>
    </row>
    <row r="18" spans="1:16" x14ac:dyDescent="0.2">
      <c r="A18">
        <v>11</v>
      </c>
      <c r="B18">
        <v>5</v>
      </c>
      <c r="C18">
        <v>2</v>
      </c>
      <c r="D18">
        <f>COUNTIFS('ball combine if not wild'!Q:Q,"="&amp;'rtp before multiplier'!B18,'ball combine if not wild'!R:R,"="&amp;'rtp before multiplier'!C18)</f>
        <v>9</v>
      </c>
      <c r="E18">
        <f>SUMIFS('ball combine if wild'!T:T,'ball combine if wild'!Q:Q,"="&amp;'rtp before multiplier'!B18,'ball combine if wild'!R:R,"="&amp;'rtp before multiplier'!C18)/D18</f>
        <v>177099.99999999997</v>
      </c>
      <c r="F18">
        <f>E18-F20*4-F21*4-E22</f>
        <v>147629.99999999997</v>
      </c>
      <c r="G18">
        <f t="shared" ref="G18:G22" si="8">F18*D18</f>
        <v>1328669.9999999998</v>
      </c>
      <c r="H18" s="7">
        <f t="shared" si="7"/>
        <v>2.4322454157536623E-2</v>
      </c>
      <c r="I18">
        <v>5</v>
      </c>
      <c r="J18">
        <f t="shared" ref="J18:J22" si="9">H18*I18</f>
        <v>0.12161227078768311</v>
      </c>
      <c r="O18">
        <v>6</v>
      </c>
      <c r="P18" s="7">
        <f t="shared" si="6"/>
        <v>2.9006475783087484E-6</v>
      </c>
    </row>
    <row r="19" spans="1:16" x14ac:dyDescent="0.2">
      <c r="A19">
        <v>11</v>
      </c>
      <c r="B19">
        <v>6</v>
      </c>
      <c r="C19">
        <v>2</v>
      </c>
      <c r="D19">
        <f>COUNTIFS('ball combine if not wild'!Q:Q,"="&amp;'rtp before multiplier'!B19,'ball combine if not wild'!R:R,"="&amp;'rtp before multiplier'!C19)</f>
        <v>6</v>
      </c>
      <c r="E19">
        <f>SUMIFS('ball combine if wild'!T:T,'ball combine if wild'!Q:Q,"="&amp;'rtp before multiplier'!B19,'ball combine if wild'!R:R,"="&amp;'rtp before multiplier'!C19)/D19</f>
        <v>42503.999999999993</v>
      </c>
      <c r="F19">
        <f>E19-F20*3-F21*3-E22</f>
        <v>20348.999999999993</v>
      </c>
      <c r="G19">
        <f t="shared" si="8"/>
        <v>122093.99999999996</v>
      </c>
      <c r="H19" s="7">
        <f t="shared" si="7"/>
        <v>2.2350363279898511E-3</v>
      </c>
      <c r="I19">
        <v>5</v>
      </c>
      <c r="J19">
        <f t="shared" si="9"/>
        <v>1.1175181639949256E-2</v>
      </c>
    </row>
    <row r="20" spans="1:16" x14ac:dyDescent="0.2">
      <c r="A20">
        <v>11</v>
      </c>
      <c r="B20">
        <v>7</v>
      </c>
      <c r="C20">
        <v>3</v>
      </c>
      <c r="D20">
        <f>COUNTIFS('ball combine if not wild'!Q:Q,"="&amp;'rtp before multiplier'!B20,'ball combine if not wild'!R:R,"="&amp;'rtp before multiplier'!C20)</f>
        <v>18</v>
      </c>
      <c r="E20">
        <f>SUMIFS('ball combine if wild'!T:T,'ball combine if wild'!Q:Q,"="&amp;'rtp before multiplier'!B20,'ball combine if wild'!R:R,"="&amp;'rtp before multiplier'!C20)/D20</f>
        <v>8855</v>
      </c>
      <c r="F20">
        <f>E20-F21*2-E22</f>
        <v>5985</v>
      </c>
      <c r="G20">
        <f t="shared" si="8"/>
        <v>107730</v>
      </c>
      <c r="H20" s="7">
        <f t="shared" si="7"/>
        <v>1.9720908776381047E-3</v>
      </c>
      <c r="I20">
        <v>25</v>
      </c>
      <c r="J20">
        <f t="shared" si="9"/>
        <v>4.9302271940952616E-2</v>
      </c>
    </row>
    <row r="21" spans="1:16" x14ac:dyDescent="0.2">
      <c r="A21">
        <v>11</v>
      </c>
      <c r="B21">
        <v>8</v>
      </c>
      <c r="C21">
        <v>4</v>
      </c>
      <c r="D21">
        <f>COUNTIFS('ball combine if not wild'!Q:Q,"="&amp;'rtp before multiplier'!B21,'ball combine if not wild'!R:R,"="&amp;'rtp before multiplier'!C21)</f>
        <v>9</v>
      </c>
      <c r="E21">
        <f>SUMIFS('ball combine if wild'!T:T,'ball combine if wild'!Q:Q,"="&amp;'rtp before multiplier'!B21,'ball combine if wild'!R:R,"="&amp;'rtp before multiplier'!C21)/D21</f>
        <v>1540</v>
      </c>
      <c r="F21">
        <f>E21-E22</f>
        <v>1330</v>
      </c>
      <c r="G21">
        <f t="shared" si="8"/>
        <v>11970</v>
      </c>
      <c r="H21" s="7">
        <f t="shared" si="7"/>
        <v>2.1912120862645608E-4</v>
      </c>
      <c r="I21">
        <v>50</v>
      </c>
      <c r="J21">
        <f t="shared" si="9"/>
        <v>1.0956060431322804E-2</v>
      </c>
    </row>
    <row r="22" spans="1:16" x14ac:dyDescent="0.2">
      <c r="A22">
        <v>11</v>
      </c>
      <c r="B22">
        <v>9</v>
      </c>
      <c r="C22">
        <v>6</v>
      </c>
      <c r="D22">
        <f>COUNTIFS('ball combine if not wild'!Q:Q,"="&amp;'rtp before multiplier'!B22,'ball combine if not wild'!R:R,"="&amp;'rtp before multiplier'!C22)</f>
        <v>1</v>
      </c>
      <c r="E22">
        <f>SUMIFS('ball combine if wild'!T:T,'ball combine if wild'!Q:Q,"="&amp;'rtp before multiplier'!B22,'ball combine if wild'!R:R,"="&amp;'rtp before multiplier'!C22)/D22</f>
        <v>210</v>
      </c>
      <c r="F22">
        <f>E22</f>
        <v>210</v>
      </c>
      <c r="G22">
        <f t="shared" si="8"/>
        <v>210</v>
      </c>
      <c r="H22" s="7">
        <f t="shared" si="7"/>
        <v>3.8442317302887036E-6</v>
      </c>
      <c r="I22">
        <v>250</v>
      </c>
      <c r="J22">
        <f t="shared" si="9"/>
        <v>9.6105793257217592E-4</v>
      </c>
    </row>
    <row r="23" spans="1:16" x14ac:dyDescent="0.2">
      <c r="A23">
        <v>12</v>
      </c>
      <c r="B23">
        <v>0</v>
      </c>
      <c r="C23">
        <v>0</v>
      </c>
      <c r="D23">
        <f>COUNTIFS('ball combine if not wild'!Q:Q,"="&amp;'rtp before multiplier'!B23,'ball combine if not wild'!R:R,"="&amp;'rtp before multiplier'!C23)</f>
        <v>1</v>
      </c>
      <c r="E23">
        <f>SUMIFS('ball combine if wild'!U:U,'ball combine if wild'!Q:Q,"="&amp;'rtp before multiplier'!B23,'ball combine if wild'!R:R,"="&amp;'rtp before multiplier'!C23)/D23</f>
        <v>86493225.000000015</v>
      </c>
      <c r="G23">
        <f>E23-SUM(G24:G29)</f>
        <v>62964974.000000015</v>
      </c>
      <c r="H23" s="7">
        <f>G23/$E$23</f>
        <v>0.72797579232361842</v>
      </c>
    </row>
    <row r="24" spans="1:16" x14ac:dyDescent="0.2">
      <c r="A24">
        <v>12</v>
      </c>
      <c r="B24">
        <v>3</v>
      </c>
      <c r="C24">
        <v>1</v>
      </c>
      <c r="D24">
        <f>COUNTIFS('ball combine if not wild'!Q:Q,"="&amp;'rtp before multiplier'!B24,'ball combine if not wild'!R:R,"="&amp;'rtp before multiplier'!C24)</f>
        <v>6</v>
      </c>
      <c r="E24">
        <f>SUMIFS('ball combine if wild'!U:U,'ball combine if wild'!Q:Q,"="&amp;'rtp before multiplier'!B24,'ball combine if wild'!R:R,"="&amp;'rtp before multiplier'!C24)/D24</f>
        <v>4686825.0000000009</v>
      </c>
      <c r="F24">
        <f>E24-F25*3-F26*2-F27*9-F28*6-E29</f>
        <v>3235814.0000000005</v>
      </c>
      <c r="G24">
        <f>F24*D24</f>
        <v>19414884.000000004</v>
      </c>
      <c r="H24" s="7">
        <f t="shared" ref="H24:H29" si="10">G24/$E$23</f>
        <v>0.22446710710578777</v>
      </c>
      <c r="I24">
        <v>2</v>
      </c>
      <c r="J24">
        <f>H24*I24</f>
        <v>0.44893421421157553</v>
      </c>
    </row>
    <row r="25" spans="1:16" x14ac:dyDescent="0.2">
      <c r="A25">
        <v>12</v>
      </c>
      <c r="B25">
        <v>5</v>
      </c>
      <c r="C25">
        <v>2</v>
      </c>
      <c r="D25">
        <f>COUNTIFS('ball combine if not wild'!Q:Q,"="&amp;'rtp before multiplier'!B25,'ball combine if not wild'!R:R,"="&amp;'rtp before multiplier'!C25)</f>
        <v>9</v>
      </c>
      <c r="E25">
        <f>SUMIFS('ball combine if wild'!U:U,'ball combine if wild'!Q:Q,"="&amp;'rtp before multiplier'!B25,'ball combine if wild'!R:R,"="&amp;'rtp before multiplier'!C25)/D25</f>
        <v>480700.00000000012</v>
      </c>
      <c r="F25">
        <f>E25-F27*4-F28*4-E29</f>
        <v>374034.00000000012</v>
      </c>
      <c r="G25">
        <f t="shared" ref="G25:G29" si="11">F25*D25</f>
        <v>3366306.0000000009</v>
      </c>
      <c r="H25" s="7">
        <f t="shared" si="10"/>
        <v>3.891988071898117E-2</v>
      </c>
      <c r="I25">
        <v>5</v>
      </c>
      <c r="J25">
        <f t="shared" ref="J25:J29" si="12">H25*I25</f>
        <v>0.19459940359490585</v>
      </c>
    </row>
    <row r="26" spans="1:16" x14ac:dyDescent="0.2">
      <c r="A26">
        <v>12</v>
      </c>
      <c r="B26">
        <v>6</v>
      </c>
      <c r="C26">
        <v>2</v>
      </c>
      <c r="D26">
        <f>COUNTIFS('ball combine if not wild'!Q:Q,"="&amp;'rtp before multiplier'!B26,'ball combine if not wild'!R:R,"="&amp;'rtp before multiplier'!C26)</f>
        <v>6</v>
      </c>
      <c r="E26">
        <f>SUMIFS('ball combine if wild'!U:U,'ball combine if wild'!Q:Q,"="&amp;'rtp before multiplier'!B26,'ball combine if wild'!R:R,"="&amp;'rtp before multiplier'!C26)/D26</f>
        <v>134596.00000000003</v>
      </c>
      <c r="F26">
        <f>E26-F27*3-F28*3-E29</f>
        <v>54264</v>
      </c>
      <c r="G26">
        <f t="shared" si="11"/>
        <v>325584</v>
      </c>
      <c r="H26" s="7">
        <f t="shared" si="10"/>
        <v>3.7642717102986962E-3</v>
      </c>
      <c r="I26">
        <v>5</v>
      </c>
      <c r="J26">
        <f t="shared" si="12"/>
        <v>1.8821358551493479E-2</v>
      </c>
    </row>
    <row r="27" spans="1:16" x14ac:dyDescent="0.2">
      <c r="A27">
        <v>12</v>
      </c>
      <c r="B27">
        <v>7</v>
      </c>
      <c r="C27">
        <v>3</v>
      </c>
      <c r="D27">
        <f>COUNTIFS('ball combine if not wild'!Q:Q,"="&amp;'rtp before multiplier'!B27,'ball combine if not wild'!R:R,"="&amp;'rtp before multiplier'!C27)</f>
        <v>18</v>
      </c>
      <c r="E27">
        <f>SUMIFS('ball combine if wild'!U:U,'ball combine if wild'!Q:Q,"="&amp;'rtp before multiplier'!B27,'ball combine if wild'!R:R,"="&amp;'rtp before multiplier'!C27)/D27</f>
        <v>33649.000000000007</v>
      </c>
      <c r="F27">
        <f>E27-F28*2-E29</f>
        <v>20349.000000000007</v>
      </c>
      <c r="G27">
        <f t="shared" si="11"/>
        <v>366282.00000000012</v>
      </c>
      <c r="H27" s="7">
        <f t="shared" si="10"/>
        <v>4.2348056740860347E-3</v>
      </c>
      <c r="I27">
        <v>25</v>
      </c>
      <c r="J27">
        <f t="shared" si="12"/>
        <v>0.10587014185215086</v>
      </c>
    </row>
    <row r="28" spans="1:16" x14ac:dyDescent="0.2">
      <c r="A28">
        <v>12</v>
      </c>
      <c r="B28">
        <v>8</v>
      </c>
      <c r="C28">
        <v>4</v>
      </c>
      <c r="D28">
        <f>COUNTIFS('ball combine if not wild'!Q:Q,"="&amp;'rtp before multiplier'!B28,'ball combine if not wild'!R:R,"="&amp;'rtp before multiplier'!C28)</f>
        <v>9</v>
      </c>
      <c r="E28">
        <f>SUMIFS('ball combine if wild'!U:U,'ball combine if wild'!Q:Q,"="&amp;'rtp before multiplier'!B28,'ball combine if wild'!R:R,"="&amp;'rtp before multiplier'!C28)/D28</f>
        <v>7315</v>
      </c>
      <c r="F28">
        <f>E28-E29</f>
        <v>5985</v>
      </c>
      <c r="G28">
        <f t="shared" si="11"/>
        <v>53865</v>
      </c>
      <c r="H28" s="7">
        <f t="shared" si="10"/>
        <v>6.2276554030676954E-4</v>
      </c>
      <c r="I28">
        <v>50</v>
      </c>
      <c r="J28">
        <f t="shared" si="12"/>
        <v>3.1138277015338476E-2</v>
      </c>
    </row>
    <row r="29" spans="1:16" x14ac:dyDescent="0.2">
      <c r="A29">
        <v>12</v>
      </c>
      <c r="B29">
        <v>9</v>
      </c>
      <c r="C29">
        <v>6</v>
      </c>
      <c r="D29">
        <f>COUNTIFS('ball combine if not wild'!Q:Q,"="&amp;'rtp before multiplier'!B29,'ball combine if not wild'!R:R,"="&amp;'rtp before multiplier'!C29)</f>
        <v>1</v>
      </c>
      <c r="E29">
        <f>SUMIFS('ball combine if wild'!U:U,'ball combine if wild'!Q:Q,"="&amp;'rtp before multiplier'!B29,'ball combine if wild'!R:R,"="&amp;'rtp before multiplier'!C29)/D29</f>
        <v>1330</v>
      </c>
      <c r="F29">
        <f>E29</f>
        <v>1330</v>
      </c>
      <c r="G29">
        <f t="shared" si="11"/>
        <v>1330</v>
      </c>
      <c r="H29" s="7">
        <f t="shared" si="10"/>
        <v>1.5376926921154804E-5</v>
      </c>
      <c r="I29">
        <v>250</v>
      </c>
      <c r="J29">
        <f t="shared" si="12"/>
        <v>3.8442317302887011E-3</v>
      </c>
    </row>
    <row r="30" spans="1:16" x14ac:dyDescent="0.2">
      <c r="A30">
        <v>13</v>
      </c>
      <c r="B30">
        <v>0</v>
      </c>
      <c r="C30">
        <v>0</v>
      </c>
      <c r="D30">
        <f>COUNTIFS('ball combine if not wild'!Q:Q,"="&amp;'rtp before multiplier'!B30,'ball combine if not wild'!R:R,"="&amp;'rtp before multiplier'!C30)</f>
        <v>1</v>
      </c>
      <c r="E30">
        <f>SUMIFS('ball combine if wild'!V:V,'ball combine if wild'!Q:Q,"="&amp;'rtp before multiplier'!B30,'ball combine if wild'!R:R,"="&amp;'rtp before multiplier'!C30)/D30</f>
        <v>119759850</v>
      </c>
      <c r="G30">
        <f>E30-SUM(G31:G36)</f>
        <v>79366914</v>
      </c>
      <c r="H30" s="7">
        <f>G30/$E$30</f>
        <v>0.66271721282216034</v>
      </c>
    </row>
    <row r="31" spans="1:16" x14ac:dyDescent="0.2">
      <c r="A31">
        <v>13</v>
      </c>
      <c r="B31">
        <v>3</v>
      </c>
      <c r="C31">
        <v>1</v>
      </c>
      <c r="D31">
        <f>COUNTIFS('ball combine if not wild'!Q:Q,"="&amp;'rtp before multiplier'!B31,'ball combine if not wild'!R:R,"="&amp;'rtp before multiplier'!C31)</f>
        <v>6</v>
      </c>
      <c r="E31">
        <f>SUMIFS('ball combine if wild'!V:V,'ball combine if wild'!Q:Q,"="&amp;'rtp before multiplier'!B31,'ball combine if wild'!R:R,"="&amp;'rtp before multiplier'!C31)/D31</f>
        <v>8436285</v>
      </c>
      <c r="F31">
        <f>E31-F32*3-F33*2-F34*9-F35*6-E36</f>
        <v>5255856</v>
      </c>
      <c r="G31">
        <f>F31*D31</f>
        <v>31535136</v>
      </c>
      <c r="H31" s="7">
        <f t="shared" ref="H31:H36" si="13">G31/$E$30</f>
        <v>0.26331976868708501</v>
      </c>
      <c r="I31">
        <v>2</v>
      </c>
      <c r="J31">
        <f>H31*I31</f>
        <v>0.52663953737417002</v>
      </c>
    </row>
    <row r="32" spans="1:16" x14ac:dyDescent="0.2">
      <c r="A32">
        <v>13</v>
      </c>
      <c r="B32">
        <v>5</v>
      </c>
      <c r="C32">
        <v>2</v>
      </c>
      <c r="D32">
        <f>COUNTIFS('ball combine if not wild'!Q:Q,"="&amp;'rtp before multiplier'!B32,'ball combine if not wild'!R:R,"="&amp;'rtp before multiplier'!C32)</f>
        <v>9</v>
      </c>
      <c r="E32">
        <f>SUMIFS('ball combine if wild'!V:V,'ball combine if wild'!Q:Q,"="&amp;'rtp before multiplier'!B32,'ball combine if wild'!R:R,"="&amp;'rtp before multiplier'!C32)/D32</f>
        <v>1081575</v>
      </c>
      <c r="F32">
        <f>E32-F34*4-F35*4-E36</f>
        <v>777138</v>
      </c>
      <c r="G32">
        <f t="shared" ref="G32:G36" si="14">F32*D32</f>
        <v>6994242</v>
      </c>
      <c r="H32" s="7">
        <f t="shared" si="13"/>
        <v>5.8402227457699719E-2</v>
      </c>
      <c r="I32">
        <v>5</v>
      </c>
      <c r="J32">
        <f t="shared" ref="J32:J36" si="15">H32*I32</f>
        <v>0.29201113728849859</v>
      </c>
    </row>
    <row r="33" spans="1:10" x14ac:dyDescent="0.2">
      <c r="A33">
        <v>13</v>
      </c>
      <c r="B33">
        <v>6</v>
      </c>
      <c r="C33">
        <v>2</v>
      </c>
      <c r="D33">
        <f>COUNTIFS('ball combine if not wild'!Q:Q,"="&amp;'rtp before multiplier'!B33,'ball combine if not wild'!R:R,"="&amp;'rtp before multiplier'!C33)</f>
        <v>6</v>
      </c>
      <c r="E33">
        <f>SUMIFS('ball combine if wild'!V:V,'ball combine if wild'!Q:Q,"="&amp;'rtp before multiplier'!B33,'ball combine if wild'!R:R,"="&amp;'rtp before multiplier'!C33)/D33</f>
        <v>346104</v>
      </c>
      <c r="F33">
        <f>E33-F34*3-F35*3-E36</f>
        <v>116280</v>
      </c>
      <c r="G33">
        <f t="shared" si="14"/>
        <v>697680</v>
      </c>
      <c r="H33" s="7">
        <f t="shared" si="13"/>
        <v>5.8256585992717928E-3</v>
      </c>
      <c r="I33">
        <v>5</v>
      </c>
      <c r="J33">
        <f t="shared" si="15"/>
        <v>2.9128292996358964E-2</v>
      </c>
    </row>
    <row r="34" spans="1:10" x14ac:dyDescent="0.2">
      <c r="A34">
        <v>13</v>
      </c>
      <c r="B34">
        <v>7</v>
      </c>
      <c r="C34">
        <v>3</v>
      </c>
      <c r="D34">
        <f>COUNTIFS('ball combine if not wild'!Q:Q,"="&amp;'rtp before multiplier'!B34,'ball combine if not wild'!R:R,"="&amp;'rtp before multiplier'!C34)</f>
        <v>18</v>
      </c>
      <c r="E34">
        <f>SUMIFS('ball combine if wild'!V:V,'ball combine if wild'!Q:Q,"="&amp;'rtp before multiplier'!B34,'ball combine if wild'!R:R,"="&amp;'rtp before multiplier'!C34)/D34</f>
        <v>100947</v>
      </c>
      <c r="F34">
        <f>E34-F35*2-E36</f>
        <v>54264</v>
      </c>
      <c r="G34">
        <f t="shared" si="14"/>
        <v>976752</v>
      </c>
      <c r="H34" s="7">
        <f t="shared" si="13"/>
        <v>8.1559220389805093E-3</v>
      </c>
      <c r="I34">
        <v>25</v>
      </c>
      <c r="J34">
        <f t="shared" si="15"/>
        <v>0.20389805097451275</v>
      </c>
    </row>
    <row r="35" spans="1:10" x14ac:dyDescent="0.2">
      <c r="A35">
        <v>13</v>
      </c>
      <c r="B35">
        <v>8</v>
      </c>
      <c r="C35">
        <v>4</v>
      </c>
      <c r="D35">
        <f>COUNTIFS('ball combine if not wild'!Q:Q,"="&amp;'rtp before multiplier'!B35,'ball combine if not wild'!R:R,"="&amp;'rtp before multiplier'!C35)</f>
        <v>9</v>
      </c>
      <c r="E35">
        <f>SUMIFS('ball combine if wild'!V:V,'ball combine if wild'!Q:Q,"="&amp;'rtp before multiplier'!B35,'ball combine if wild'!R:R,"="&amp;'rtp before multiplier'!C35)/D35</f>
        <v>26334</v>
      </c>
      <c r="F35">
        <f>E35-E36</f>
        <v>20349</v>
      </c>
      <c r="G35">
        <f t="shared" si="14"/>
        <v>183141</v>
      </c>
      <c r="H35" s="7">
        <f t="shared" si="13"/>
        <v>1.5292353823088455E-3</v>
      </c>
      <c r="I35">
        <v>50</v>
      </c>
      <c r="J35">
        <f t="shared" si="15"/>
        <v>7.646176911544228E-2</v>
      </c>
    </row>
    <row r="36" spans="1:10" x14ac:dyDescent="0.2">
      <c r="A36">
        <v>13</v>
      </c>
      <c r="B36">
        <v>9</v>
      </c>
      <c r="C36">
        <v>6</v>
      </c>
      <c r="D36">
        <f>COUNTIFS('ball combine if not wild'!Q:Q,"="&amp;'rtp before multiplier'!B36,'ball combine if not wild'!R:R,"="&amp;'rtp before multiplier'!C36)</f>
        <v>1</v>
      </c>
      <c r="E36">
        <f>SUMIFS('ball combine if wild'!V:V,'ball combine if wild'!Q:Q,"="&amp;'rtp before multiplier'!B36,'ball combine if wild'!R:R,"="&amp;'rtp before multiplier'!C36)/D36</f>
        <v>5985</v>
      </c>
      <c r="F36">
        <f>E36</f>
        <v>5985</v>
      </c>
      <c r="G36">
        <f t="shared" si="14"/>
        <v>5985</v>
      </c>
      <c r="H36" s="7">
        <f t="shared" si="13"/>
        <v>4.9975012493753125E-5</v>
      </c>
      <c r="I36">
        <v>250</v>
      </c>
      <c r="J36">
        <f t="shared" si="15"/>
        <v>1.2493753123438282E-2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A09-DA80-4E20-92A8-7B12D2241468}">
  <dimension ref="B1:AQ1025"/>
  <sheetViews>
    <sheetView workbookViewId="0">
      <selection activeCell="C7" sqref="C7"/>
    </sheetView>
  </sheetViews>
  <sheetFormatPr defaultRowHeight="14.25" x14ac:dyDescent="0.2"/>
  <cols>
    <col min="7" max="8" width="9.375" customWidth="1"/>
  </cols>
  <sheetData>
    <row r="1" spans="2:43" ht="15" x14ac:dyDescent="0.2">
      <c r="F1" t="s">
        <v>28</v>
      </c>
      <c r="I1">
        <f>SUM(H2:H5)</f>
        <v>2.76</v>
      </c>
      <c r="K1" t="s">
        <v>28</v>
      </c>
      <c r="L1" s="3" t="s">
        <v>29</v>
      </c>
      <c r="M1" s="3" t="s">
        <v>33</v>
      </c>
      <c r="N1" s="3" t="s">
        <v>34</v>
      </c>
      <c r="O1" s="3"/>
      <c r="P1" s="3">
        <f>SUM(O:O)</f>
        <v>7.6176000000000004</v>
      </c>
      <c r="R1" t="s">
        <v>28</v>
      </c>
      <c r="S1" s="3" t="s">
        <v>29</v>
      </c>
      <c r="T1" s="3" t="s">
        <v>30</v>
      </c>
      <c r="U1" s="3" t="s">
        <v>33</v>
      </c>
      <c r="V1" s="3" t="s">
        <v>34</v>
      </c>
      <c r="W1" s="3"/>
      <c r="X1">
        <f>SUM(W:W)</f>
        <v>21.024576000000003</v>
      </c>
      <c r="Z1" t="s">
        <v>28</v>
      </c>
      <c r="AA1" s="3" t="s">
        <v>29</v>
      </c>
      <c r="AB1" s="3" t="s">
        <v>30</v>
      </c>
      <c r="AC1" s="3" t="s">
        <v>31</v>
      </c>
      <c r="AD1" s="3" t="s">
        <v>33</v>
      </c>
      <c r="AE1" s="3" t="s">
        <v>34</v>
      </c>
      <c r="AF1" s="3"/>
      <c r="AG1" s="3">
        <f>SUM(AF:AF)</f>
        <v>58.027829760000024</v>
      </c>
      <c r="AI1" t="s">
        <v>28</v>
      </c>
      <c r="AJ1" s="3" t="s">
        <v>29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/>
      <c r="AQ1">
        <f>SUM(AP:AP)</f>
        <v>160.1568101375999</v>
      </c>
    </row>
    <row r="2" spans="2:43" ht="15" x14ac:dyDescent="0.2">
      <c r="F2">
        <v>2</v>
      </c>
      <c r="G2">
        <f>C3</f>
        <v>0.6</v>
      </c>
      <c r="H2">
        <f>F2*G2</f>
        <v>1.2</v>
      </c>
      <c r="K2" cm="1">
        <f t="array" ref="K2:L17">MID(_xlfn.BASE(_xlfn.SEQUENCE(4^2,,0), 4, 2), _xlfn.SEQUENCE(1,2), 1) + 2</f>
        <v>2</v>
      </c>
      <c r="L2">
        <v>2</v>
      </c>
      <c r="M2">
        <f>K2*L2</f>
        <v>4</v>
      </c>
      <c r="N2" cm="1">
        <f t="array" ref="N2">PRODUCT(_xlfn.XLOOKUP(K2:L2,$B$3:$B$6,$C$3:$C$6))</f>
        <v>0.36</v>
      </c>
      <c r="O2">
        <f>M2*N2</f>
        <v>1.44</v>
      </c>
      <c r="R2" cm="1">
        <f t="array" ref="R2:T65">MID(_xlfn.BASE(_xlfn.SEQUENCE(4^3,,0), 4, 3), _xlfn.SEQUENCE(1,3), 1) + 2</f>
        <v>2</v>
      </c>
      <c r="S2">
        <v>2</v>
      </c>
      <c r="T2">
        <v>2</v>
      </c>
      <c r="U2">
        <f>PRODUCT(R2:T2)</f>
        <v>8</v>
      </c>
      <c r="V2" cm="1">
        <f t="array" ref="V2">PRODUCT(_xlfn.XLOOKUP(R2:T2,$B$3:$B$6,$C$3:$C$6))</f>
        <v>0.216</v>
      </c>
      <c r="W2">
        <f>U2*V2</f>
        <v>1.728</v>
      </c>
      <c r="Y2" s="1"/>
      <c r="Z2" cm="1">
        <f t="array" ref="Z2:AC257">MID(_xlfn.BASE(_xlfn.SEQUENCE(4^4,,0), 4, 4), _xlfn.SEQUENCE(1,4), 1) + 2</f>
        <v>2</v>
      </c>
      <c r="AA2">
        <v>2</v>
      </c>
      <c r="AB2">
        <v>2</v>
      </c>
      <c r="AC2">
        <v>2</v>
      </c>
      <c r="AD2">
        <f>PRODUCT(Z2:AC2)</f>
        <v>16</v>
      </c>
      <c r="AE2" cm="1">
        <f t="array" ref="AE2">PRODUCT(_xlfn.XLOOKUP(Z2:AC2,$B$3:$B$6,$C$3:$C$6))</f>
        <v>0.12959999999999999</v>
      </c>
      <c r="AF2">
        <f>AD2*AE2</f>
        <v>2.0735999999999999</v>
      </c>
      <c r="AI2" cm="1">
        <f t="array" ref="AI2:AM1025">MID(_xlfn.BASE(_xlfn.SEQUENCE(4^5,,0), 4, 5), _xlfn.SEQUENCE(1,5), 1) + 2</f>
        <v>2</v>
      </c>
      <c r="AJ2">
        <v>2</v>
      </c>
      <c r="AK2">
        <v>2</v>
      </c>
      <c r="AL2">
        <v>2</v>
      </c>
      <c r="AM2">
        <v>2</v>
      </c>
      <c r="AN2">
        <f>PRODUCT(AI2:AM2)</f>
        <v>32</v>
      </c>
      <c r="AO2" cm="1">
        <f t="array" ref="AO2">PRODUCT(_xlfn.XLOOKUP(AI2:AM2,$B$3:$B$6,$C$3:$C$6))</f>
        <v>7.7759999999999996E-2</v>
      </c>
      <c r="AP2">
        <f>AN2*AO2</f>
        <v>2.4883199999999999</v>
      </c>
    </row>
    <row r="3" spans="2:43" x14ac:dyDescent="0.2">
      <c r="B3">
        <v>2</v>
      </c>
      <c r="C3">
        <v>0.6</v>
      </c>
      <c r="F3">
        <v>3</v>
      </c>
      <c r="G3">
        <f t="shared" ref="G3" si="0">C4</f>
        <v>0.22</v>
      </c>
      <c r="H3">
        <f t="shared" ref="H3:H5" si="1">F3*G3</f>
        <v>0.66</v>
      </c>
      <c r="K3">
        <v>2</v>
      </c>
      <c r="L3">
        <v>3</v>
      </c>
      <c r="M3">
        <f t="shared" ref="M3:M17" si="2">K3*L3</f>
        <v>6</v>
      </c>
      <c r="N3" cm="1">
        <f t="array" ref="N3">PRODUCT(_xlfn.XLOOKUP(K3:L3,$B$3:$B$6,$C$3:$C$6))</f>
        <v>0.13200000000000001</v>
      </c>
      <c r="O3">
        <f t="shared" ref="O3:O17" si="3">M3*N3</f>
        <v>0.79200000000000004</v>
      </c>
      <c r="R3">
        <v>2</v>
      </c>
      <c r="S3">
        <v>2</v>
      </c>
      <c r="T3">
        <v>3</v>
      </c>
      <c r="U3">
        <f t="shared" ref="U3:U65" si="4">PRODUCT(R3:T3)</f>
        <v>12</v>
      </c>
      <c r="V3" cm="1">
        <f t="array" ref="V3">PRODUCT(_xlfn.XLOOKUP(R3:T3,$B$3:$B$6,$C$3:$C$6))</f>
        <v>7.9199999999999993E-2</v>
      </c>
      <c r="W3">
        <f t="shared" ref="W3:W65" si="5">U3*V3</f>
        <v>0.95039999999999991</v>
      </c>
      <c r="Z3">
        <v>2</v>
      </c>
      <c r="AA3">
        <v>2</v>
      </c>
      <c r="AB3">
        <v>2</v>
      </c>
      <c r="AC3">
        <v>3</v>
      </c>
      <c r="AD3">
        <f t="shared" ref="AD3:AD66" si="6">PRODUCT(Z3:AC3)</f>
        <v>24</v>
      </c>
      <c r="AE3" cm="1">
        <f t="array" ref="AE3">PRODUCT(_xlfn.XLOOKUP(Z3:AC3,$B$3:$B$6,$C$3:$C$6))</f>
        <v>4.752E-2</v>
      </c>
      <c r="AF3">
        <f t="shared" ref="AF3:AF66" si="7">AD3*AE3</f>
        <v>1.1404799999999999</v>
      </c>
      <c r="AI3">
        <v>2</v>
      </c>
      <c r="AJ3">
        <v>2</v>
      </c>
      <c r="AK3">
        <v>2</v>
      </c>
      <c r="AL3">
        <v>2</v>
      </c>
      <c r="AM3">
        <v>3</v>
      </c>
      <c r="AN3">
        <f t="shared" ref="AN3:AN66" si="8">PRODUCT(AI3:AM3)</f>
        <v>48</v>
      </c>
      <c r="AO3" cm="1">
        <f t="array" ref="AO3">PRODUCT(_xlfn.XLOOKUP(AI3:AM3,$B$3:$B$6,$C$3:$C$6))</f>
        <v>2.8511999999999999E-2</v>
      </c>
      <c r="AP3">
        <f t="shared" ref="AP3:AP66" si="9">AN3*AO3</f>
        <v>1.368576</v>
      </c>
    </row>
    <row r="4" spans="2:43" x14ac:dyDescent="0.2">
      <c r="B4">
        <v>3</v>
      </c>
      <c r="C4">
        <v>0.22</v>
      </c>
      <c r="F4">
        <v>4</v>
      </c>
      <c r="G4">
        <f>C5</f>
        <v>0</v>
      </c>
      <c r="H4">
        <f t="shared" si="1"/>
        <v>0</v>
      </c>
      <c r="K4">
        <v>2</v>
      </c>
      <c r="L4">
        <v>4</v>
      </c>
      <c r="M4">
        <f t="shared" si="2"/>
        <v>8</v>
      </c>
      <c r="N4" cm="1">
        <f t="array" ref="N4">PRODUCT(_xlfn.XLOOKUP(K4:L4,$B$3:$B$6,$C$3:$C$6))</f>
        <v>0</v>
      </c>
      <c r="O4">
        <f t="shared" si="3"/>
        <v>0</v>
      </c>
      <c r="R4">
        <v>2</v>
      </c>
      <c r="S4">
        <v>2</v>
      </c>
      <c r="T4">
        <v>4</v>
      </c>
      <c r="U4">
        <f t="shared" si="4"/>
        <v>16</v>
      </c>
      <c r="V4" cm="1">
        <f t="array" ref="V4">PRODUCT(_xlfn.XLOOKUP(R4:T4,$B$3:$B$6,$C$3:$C$6))</f>
        <v>0</v>
      </c>
      <c r="W4">
        <f t="shared" si="5"/>
        <v>0</v>
      </c>
      <c r="Z4">
        <v>2</v>
      </c>
      <c r="AA4">
        <v>2</v>
      </c>
      <c r="AB4">
        <v>2</v>
      </c>
      <c r="AC4">
        <v>4</v>
      </c>
      <c r="AD4">
        <f t="shared" si="6"/>
        <v>32</v>
      </c>
      <c r="AE4" cm="1">
        <f t="array" ref="AE4">PRODUCT(_xlfn.XLOOKUP(Z4:AC4,$B$3:$B$6,$C$3:$C$6))</f>
        <v>0</v>
      </c>
      <c r="AF4">
        <f t="shared" si="7"/>
        <v>0</v>
      </c>
      <c r="AI4">
        <v>2</v>
      </c>
      <c r="AJ4">
        <v>2</v>
      </c>
      <c r="AK4">
        <v>2</v>
      </c>
      <c r="AL4">
        <v>2</v>
      </c>
      <c r="AM4">
        <v>4</v>
      </c>
      <c r="AN4">
        <f t="shared" si="8"/>
        <v>64</v>
      </c>
      <c r="AO4" cm="1">
        <f t="array" ref="AO4">PRODUCT(_xlfn.XLOOKUP(AI4:AM4,$B$3:$B$6,$C$3:$C$6))</f>
        <v>0</v>
      </c>
      <c r="AP4">
        <f t="shared" si="9"/>
        <v>0</v>
      </c>
    </row>
    <row r="5" spans="2:43" x14ac:dyDescent="0.2">
      <c r="B5">
        <v>4</v>
      </c>
      <c r="C5">
        <v>0</v>
      </c>
      <c r="F5">
        <v>5</v>
      </c>
      <c r="G5">
        <f>C6</f>
        <v>0.18</v>
      </c>
      <c r="H5">
        <f t="shared" si="1"/>
        <v>0.89999999999999991</v>
      </c>
      <c r="K5">
        <v>2</v>
      </c>
      <c r="L5">
        <v>5</v>
      </c>
      <c r="M5">
        <f t="shared" si="2"/>
        <v>10</v>
      </c>
      <c r="N5" cm="1">
        <f t="array" ref="N5">PRODUCT(_xlfn.XLOOKUP(K5:L5,$B$3:$B$6,$C$3:$C$6))</f>
        <v>0.108</v>
      </c>
      <c r="O5">
        <f t="shared" si="3"/>
        <v>1.08</v>
      </c>
      <c r="R5">
        <v>2</v>
      </c>
      <c r="S5">
        <v>2</v>
      </c>
      <c r="T5">
        <v>5</v>
      </c>
      <c r="U5">
        <f t="shared" si="4"/>
        <v>20</v>
      </c>
      <c r="V5" cm="1">
        <f t="array" ref="V5">PRODUCT(_xlfn.XLOOKUP(R5:T5,$B$3:$B$6,$C$3:$C$6))</f>
        <v>6.4799999999999996E-2</v>
      </c>
      <c r="W5">
        <f t="shared" si="5"/>
        <v>1.2959999999999998</v>
      </c>
      <c r="Z5">
        <v>2</v>
      </c>
      <c r="AA5">
        <v>2</v>
      </c>
      <c r="AB5">
        <v>2</v>
      </c>
      <c r="AC5">
        <v>5</v>
      </c>
      <c r="AD5">
        <f t="shared" si="6"/>
        <v>40</v>
      </c>
      <c r="AE5" cm="1">
        <f t="array" ref="AE5">PRODUCT(_xlfn.XLOOKUP(Z5:AC5,$B$3:$B$6,$C$3:$C$6))</f>
        <v>3.8879999999999998E-2</v>
      </c>
      <c r="AF5">
        <f t="shared" si="7"/>
        <v>1.5551999999999999</v>
      </c>
      <c r="AI5">
        <v>2</v>
      </c>
      <c r="AJ5">
        <v>2</v>
      </c>
      <c r="AK5">
        <v>2</v>
      </c>
      <c r="AL5">
        <v>2</v>
      </c>
      <c r="AM5">
        <v>5</v>
      </c>
      <c r="AN5">
        <f t="shared" si="8"/>
        <v>80</v>
      </c>
      <c r="AO5" cm="1">
        <f t="array" ref="AO5">PRODUCT(_xlfn.XLOOKUP(AI5:AM5,$B$3:$B$6,$C$3:$C$6))</f>
        <v>2.3327999999999998E-2</v>
      </c>
      <c r="AP5">
        <f t="shared" si="9"/>
        <v>1.8662399999999999</v>
      </c>
    </row>
    <row r="6" spans="2:43" x14ac:dyDescent="0.2">
      <c r="B6">
        <v>5</v>
      </c>
      <c r="C6">
        <v>0.18</v>
      </c>
      <c r="K6">
        <v>3</v>
      </c>
      <c r="L6">
        <v>2</v>
      </c>
      <c r="M6">
        <f t="shared" si="2"/>
        <v>6</v>
      </c>
      <c r="N6" cm="1">
        <f t="array" ref="N6">PRODUCT(_xlfn.XLOOKUP(K6:L6,$B$3:$B$6,$C$3:$C$6))</f>
        <v>0.13200000000000001</v>
      </c>
      <c r="O6">
        <f t="shared" si="3"/>
        <v>0.79200000000000004</v>
      </c>
      <c r="R6">
        <v>2</v>
      </c>
      <c r="S6">
        <v>3</v>
      </c>
      <c r="T6">
        <v>2</v>
      </c>
      <c r="U6">
        <f t="shared" si="4"/>
        <v>12</v>
      </c>
      <c r="V6" cm="1">
        <f t="array" ref="V6">PRODUCT(_xlfn.XLOOKUP(R6:T6,$B$3:$B$6,$C$3:$C$6))</f>
        <v>7.9200000000000007E-2</v>
      </c>
      <c r="W6">
        <f t="shared" si="5"/>
        <v>0.95040000000000013</v>
      </c>
      <c r="Z6">
        <v>2</v>
      </c>
      <c r="AA6">
        <v>2</v>
      </c>
      <c r="AB6">
        <v>3</v>
      </c>
      <c r="AC6">
        <v>2</v>
      </c>
      <c r="AD6">
        <f t="shared" si="6"/>
        <v>24</v>
      </c>
      <c r="AE6" cm="1">
        <f t="array" ref="AE6">PRODUCT(_xlfn.XLOOKUP(Z6:AC6,$B$3:$B$6,$C$3:$C$6))</f>
        <v>4.7519999999999993E-2</v>
      </c>
      <c r="AF6">
        <f t="shared" si="7"/>
        <v>1.1404799999999997</v>
      </c>
      <c r="AI6">
        <v>2</v>
      </c>
      <c r="AJ6">
        <v>2</v>
      </c>
      <c r="AK6">
        <v>2</v>
      </c>
      <c r="AL6">
        <v>3</v>
      </c>
      <c r="AM6">
        <v>2</v>
      </c>
      <c r="AN6">
        <f t="shared" si="8"/>
        <v>48</v>
      </c>
      <c r="AO6" cm="1">
        <f t="array" ref="AO6">PRODUCT(_xlfn.XLOOKUP(AI6:AM6,$B$3:$B$6,$C$3:$C$6))</f>
        <v>2.8511999999999999E-2</v>
      </c>
      <c r="AP6">
        <f t="shared" si="9"/>
        <v>1.368576</v>
      </c>
    </row>
    <row r="7" spans="2:43" x14ac:dyDescent="0.2">
      <c r="K7">
        <v>3</v>
      </c>
      <c r="L7">
        <v>3</v>
      </c>
      <c r="M7">
        <f t="shared" si="2"/>
        <v>9</v>
      </c>
      <c r="N7" cm="1">
        <f t="array" ref="N7">PRODUCT(_xlfn.XLOOKUP(K7:L7,$B$3:$B$6,$C$3:$C$6))</f>
        <v>4.8399999999999999E-2</v>
      </c>
      <c r="O7">
        <f t="shared" si="3"/>
        <v>0.43559999999999999</v>
      </c>
      <c r="R7">
        <v>2</v>
      </c>
      <c r="S7">
        <v>3</v>
      </c>
      <c r="T7">
        <v>3</v>
      </c>
      <c r="U7">
        <f t="shared" si="4"/>
        <v>18</v>
      </c>
      <c r="V7" cm="1">
        <f t="array" ref="V7">PRODUCT(_xlfn.XLOOKUP(R7:T7,$B$3:$B$6,$C$3:$C$6))</f>
        <v>2.904E-2</v>
      </c>
      <c r="W7">
        <f t="shared" si="5"/>
        <v>0.52271999999999996</v>
      </c>
      <c r="Z7">
        <v>2</v>
      </c>
      <c r="AA7">
        <v>2</v>
      </c>
      <c r="AB7">
        <v>3</v>
      </c>
      <c r="AC7">
        <v>3</v>
      </c>
      <c r="AD7">
        <f t="shared" si="6"/>
        <v>36</v>
      </c>
      <c r="AE7" cm="1">
        <f t="array" ref="AE7">PRODUCT(_xlfn.XLOOKUP(Z7:AC7,$B$3:$B$6,$C$3:$C$6))</f>
        <v>1.7423999999999999E-2</v>
      </c>
      <c r="AF7">
        <f t="shared" si="7"/>
        <v>0.62726399999999993</v>
      </c>
      <c r="AI7">
        <v>2</v>
      </c>
      <c r="AJ7">
        <v>2</v>
      </c>
      <c r="AK7">
        <v>2</v>
      </c>
      <c r="AL7">
        <v>3</v>
      </c>
      <c r="AM7">
        <v>3</v>
      </c>
      <c r="AN7">
        <f t="shared" si="8"/>
        <v>72</v>
      </c>
      <c r="AO7" cm="1">
        <f t="array" ref="AO7">PRODUCT(_xlfn.XLOOKUP(AI7:AM7,$B$3:$B$6,$C$3:$C$6))</f>
        <v>1.0454400000000001E-2</v>
      </c>
      <c r="AP7">
        <f t="shared" si="9"/>
        <v>0.75271680000000007</v>
      </c>
    </row>
    <row r="8" spans="2:43" x14ac:dyDescent="0.2">
      <c r="K8">
        <v>3</v>
      </c>
      <c r="L8">
        <v>4</v>
      </c>
      <c r="M8">
        <f t="shared" si="2"/>
        <v>12</v>
      </c>
      <c r="N8" cm="1">
        <f t="array" ref="N8">PRODUCT(_xlfn.XLOOKUP(K8:L8,$B$3:$B$6,$C$3:$C$6))</f>
        <v>0</v>
      </c>
      <c r="O8">
        <f t="shared" si="3"/>
        <v>0</v>
      </c>
      <c r="R8">
        <v>2</v>
      </c>
      <c r="S8">
        <v>3</v>
      </c>
      <c r="T8">
        <v>4</v>
      </c>
      <c r="U8">
        <f t="shared" si="4"/>
        <v>24</v>
      </c>
      <c r="V8" cm="1">
        <f t="array" ref="V8">PRODUCT(_xlfn.XLOOKUP(R8:T8,$B$3:$B$6,$C$3:$C$6))</f>
        <v>0</v>
      </c>
      <c r="W8">
        <f t="shared" si="5"/>
        <v>0</v>
      </c>
      <c r="Z8">
        <v>2</v>
      </c>
      <c r="AA8">
        <v>2</v>
      </c>
      <c r="AB8">
        <v>3</v>
      </c>
      <c r="AC8">
        <v>4</v>
      </c>
      <c r="AD8">
        <f t="shared" si="6"/>
        <v>48</v>
      </c>
      <c r="AE8" cm="1">
        <f t="array" ref="AE8">PRODUCT(_xlfn.XLOOKUP(Z8:AC8,$B$3:$B$6,$C$3:$C$6))</f>
        <v>0</v>
      </c>
      <c r="AF8">
        <f t="shared" si="7"/>
        <v>0</v>
      </c>
      <c r="AI8">
        <v>2</v>
      </c>
      <c r="AJ8">
        <v>2</v>
      </c>
      <c r="AK8">
        <v>2</v>
      </c>
      <c r="AL8">
        <v>3</v>
      </c>
      <c r="AM8">
        <v>4</v>
      </c>
      <c r="AN8">
        <f t="shared" si="8"/>
        <v>96</v>
      </c>
      <c r="AO8" cm="1">
        <f t="array" ref="AO8">PRODUCT(_xlfn.XLOOKUP(AI8:AM8,$B$3:$B$6,$C$3:$C$6))</f>
        <v>0</v>
      </c>
      <c r="AP8">
        <f t="shared" si="9"/>
        <v>0</v>
      </c>
    </row>
    <row r="9" spans="2:43" x14ac:dyDescent="0.2">
      <c r="K9">
        <v>3</v>
      </c>
      <c r="L9">
        <v>5</v>
      </c>
      <c r="M9">
        <f t="shared" si="2"/>
        <v>15</v>
      </c>
      <c r="N9" cm="1">
        <f t="array" ref="N9">PRODUCT(_xlfn.XLOOKUP(K9:L9,$B$3:$B$6,$C$3:$C$6))</f>
        <v>3.9599999999999996E-2</v>
      </c>
      <c r="O9">
        <f t="shared" si="3"/>
        <v>0.59399999999999997</v>
      </c>
      <c r="R9">
        <v>2</v>
      </c>
      <c r="S9">
        <v>3</v>
      </c>
      <c r="T9">
        <v>5</v>
      </c>
      <c r="U9">
        <f t="shared" si="4"/>
        <v>30</v>
      </c>
      <c r="V9" cm="1">
        <f t="array" ref="V9">PRODUCT(_xlfn.XLOOKUP(R9:T9,$B$3:$B$6,$C$3:$C$6))</f>
        <v>2.376E-2</v>
      </c>
      <c r="W9">
        <f t="shared" si="5"/>
        <v>0.71279999999999999</v>
      </c>
      <c r="Z9">
        <v>2</v>
      </c>
      <c r="AA9">
        <v>2</v>
      </c>
      <c r="AB9">
        <v>3</v>
      </c>
      <c r="AC9">
        <v>5</v>
      </c>
      <c r="AD9">
        <f t="shared" si="6"/>
        <v>60</v>
      </c>
      <c r="AE9" cm="1">
        <f t="array" ref="AE9">PRODUCT(_xlfn.XLOOKUP(Z9:AC9,$B$3:$B$6,$C$3:$C$6))</f>
        <v>1.4255999999999998E-2</v>
      </c>
      <c r="AF9">
        <f t="shared" si="7"/>
        <v>0.8553599999999999</v>
      </c>
      <c r="AI9">
        <v>2</v>
      </c>
      <c r="AJ9">
        <v>2</v>
      </c>
      <c r="AK9">
        <v>2</v>
      </c>
      <c r="AL9">
        <v>3</v>
      </c>
      <c r="AM9">
        <v>5</v>
      </c>
      <c r="AN9">
        <f t="shared" si="8"/>
        <v>120</v>
      </c>
      <c r="AO9" cm="1">
        <f t="array" ref="AO9">PRODUCT(_xlfn.XLOOKUP(AI9:AM9,$B$3:$B$6,$C$3:$C$6))</f>
        <v>8.5535999999999997E-3</v>
      </c>
      <c r="AP9">
        <f t="shared" si="9"/>
        <v>1.026432</v>
      </c>
    </row>
    <row r="10" spans="2:43" x14ac:dyDescent="0.2">
      <c r="K10">
        <v>4</v>
      </c>
      <c r="L10">
        <v>2</v>
      </c>
      <c r="M10">
        <f t="shared" si="2"/>
        <v>8</v>
      </c>
      <c r="N10" cm="1">
        <f t="array" ref="N10">PRODUCT(_xlfn.XLOOKUP(K10:L10,$B$3:$B$6,$C$3:$C$6))</f>
        <v>0</v>
      </c>
      <c r="O10">
        <f t="shared" si="3"/>
        <v>0</v>
      </c>
      <c r="R10">
        <v>2</v>
      </c>
      <c r="S10">
        <v>4</v>
      </c>
      <c r="T10">
        <v>2</v>
      </c>
      <c r="U10">
        <f t="shared" si="4"/>
        <v>16</v>
      </c>
      <c r="V10" cm="1">
        <f t="array" ref="V10">PRODUCT(_xlfn.XLOOKUP(R10:T10,$B$3:$B$6,$C$3:$C$6))</f>
        <v>0</v>
      </c>
      <c r="W10">
        <f t="shared" si="5"/>
        <v>0</v>
      </c>
      <c r="Z10">
        <v>2</v>
      </c>
      <c r="AA10">
        <v>2</v>
      </c>
      <c r="AB10">
        <v>4</v>
      </c>
      <c r="AC10">
        <v>2</v>
      </c>
      <c r="AD10">
        <f t="shared" si="6"/>
        <v>32</v>
      </c>
      <c r="AE10" cm="1">
        <f t="array" ref="AE10">PRODUCT(_xlfn.XLOOKUP(Z10:AC10,$B$3:$B$6,$C$3:$C$6))</f>
        <v>0</v>
      </c>
      <c r="AF10">
        <f t="shared" si="7"/>
        <v>0</v>
      </c>
      <c r="AI10">
        <v>2</v>
      </c>
      <c r="AJ10">
        <v>2</v>
      </c>
      <c r="AK10">
        <v>2</v>
      </c>
      <c r="AL10">
        <v>4</v>
      </c>
      <c r="AM10">
        <v>2</v>
      </c>
      <c r="AN10">
        <f t="shared" si="8"/>
        <v>64</v>
      </c>
      <c r="AO10" cm="1">
        <f t="array" ref="AO10">PRODUCT(_xlfn.XLOOKUP(AI10:AM10,$B$3:$B$6,$C$3:$C$6))</f>
        <v>0</v>
      </c>
      <c r="AP10">
        <f t="shared" si="9"/>
        <v>0</v>
      </c>
    </row>
    <row r="11" spans="2:43" x14ac:dyDescent="0.2">
      <c r="K11">
        <v>4</v>
      </c>
      <c r="L11">
        <v>3</v>
      </c>
      <c r="M11">
        <f t="shared" si="2"/>
        <v>12</v>
      </c>
      <c r="N11" cm="1">
        <f t="array" ref="N11">PRODUCT(_xlfn.XLOOKUP(K11:L11,$B$3:$B$6,$C$3:$C$6))</f>
        <v>0</v>
      </c>
      <c r="O11">
        <f t="shared" si="3"/>
        <v>0</v>
      </c>
      <c r="R11">
        <v>2</v>
      </c>
      <c r="S11">
        <v>4</v>
      </c>
      <c r="T11">
        <v>3</v>
      </c>
      <c r="U11">
        <f t="shared" si="4"/>
        <v>24</v>
      </c>
      <c r="V11" cm="1">
        <f t="array" ref="V11">PRODUCT(_xlfn.XLOOKUP(R11:T11,$B$3:$B$6,$C$3:$C$6))</f>
        <v>0</v>
      </c>
      <c r="W11">
        <f t="shared" si="5"/>
        <v>0</v>
      </c>
      <c r="Z11">
        <v>2</v>
      </c>
      <c r="AA11">
        <v>2</v>
      </c>
      <c r="AB11">
        <v>4</v>
      </c>
      <c r="AC11">
        <v>3</v>
      </c>
      <c r="AD11">
        <f t="shared" si="6"/>
        <v>48</v>
      </c>
      <c r="AE11" cm="1">
        <f t="array" ref="AE11">PRODUCT(_xlfn.XLOOKUP(Z11:AC11,$B$3:$B$6,$C$3:$C$6))</f>
        <v>0</v>
      </c>
      <c r="AF11">
        <f t="shared" si="7"/>
        <v>0</v>
      </c>
      <c r="AI11">
        <v>2</v>
      </c>
      <c r="AJ11">
        <v>2</v>
      </c>
      <c r="AK11">
        <v>2</v>
      </c>
      <c r="AL11">
        <v>4</v>
      </c>
      <c r="AM11">
        <v>3</v>
      </c>
      <c r="AN11">
        <f t="shared" si="8"/>
        <v>96</v>
      </c>
      <c r="AO11" cm="1">
        <f t="array" ref="AO11">PRODUCT(_xlfn.XLOOKUP(AI11:AM11,$B$3:$B$6,$C$3:$C$6))</f>
        <v>0</v>
      </c>
      <c r="AP11">
        <f t="shared" si="9"/>
        <v>0</v>
      </c>
    </row>
    <row r="12" spans="2:43" x14ac:dyDescent="0.2">
      <c r="K12">
        <v>4</v>
      </c>
      <c r="L12">
        <v>4</v>
      </c>
      <c r="M12">
        <f t="shared" si="2"/>
        <v>16</v>
      </c>
      <c r="N12" cm="1">
        <f t="array" ref="N12">PRODUCT(_xlfn.XLOOKUP(K12:L12,$B$3:$B$6,$C$3:$C$6))</f>
        <v>0</v>
      </c>
      <c r="O12">
        <f t="shared" si="3"/>
        <v>0</v>
      </c>
      <c r="R12">
        <v>2</v>
      </c>
      <c r="S12">
        <v>4</v>
      </c>
      <c r="T12">
        <v>4</v>
      </c>
      <c r="U12">
        <f t="shared" si="4"/>
        <v>32</v>
      </c>
      <c r="V12" cm="1">
        <f t="array" ref="V12">PRODUCT(_xlfn.XLOOKUP(R12:T12,$B$3:$B$6,$C$3:$C$6))</f>
        <v>0</v>
      </c>
      <c r="W12">
        <f t="shared" si="5"/>
        <v>0</v>
      </c>
      <c r="Z12">
        <v>2</v>
      </c>
      <c r="AA12">
        <v>2</v>
      </c>
      <c r="AB12">
        <v>4</v>
      </c>
      <c r="AC12">
        <v>4</v>
      </c>
      <c r="AD12">
        <f t="shared" si="6"/>
        <v>64</v>
      </c>
      <c r="AE12" cm="1">
        <f t="array" ref="AE12">PRODUCT(_xlfn.XLOOKUP(Z12:AC12,$B$3:$B$6,$C$3:$C$6))</f>
        <v>0</v>
      </c>
      <c r="AF12">
        <f t="shared" si="7"/>
        <v>0</v>
      </c>
      <c r="AI12">
        <v>2</v>
      </c>
      <c r="AJ12">
        <v>2</v>
      </c>
      <c r="AK12">
        <v>2</v>
      </c>
      <c r="AL12">
        <v>4</v>
      </c>
      <c r="AM12">
        <v>4</v>
      </c>
      <c r="AN12">
        <f t="shared" si="8"/>
        <v>128</v>
      </c>
      <c r="AO12" cm="1">
        <f t="array" ref="AO12">PRODUCT(_xlfn.XLOOKUP(AI12:AM12,$B$3:$B$6,$C$3:$C$6))</f>
        <v>0</v>
      </c>
      <c r="AP12">
        <f t="shared" si="9"/>
        <v>0</v>
      </c>
    </row>
    <row r="13" spans="2:43" x14ac:dyDescent="0.2">
      <c r="K13">
        <v>4</v>
      </c>
      <c r="L13">
        <v>5</v>
      </c>
      <c r="M13">
        <f t="shared" si="2"/>
        <v>20</v>
      </c>
      <c r="N13" cm="1">
        <f t="array" ref="N13">PRODUCT(_xlfn.XLOOKUP(K13:L13,$B$3:$B$6,$C$3:$C$6))</f>
        <v>0</v>
      </c>
      <c r="O13">
        <f t="shared" si="3"/>
        <v>0</v>
      </c>
      <c r="R13">
        <v>2</v>
      </c>
      <c r="S13">
        <v>4</v>
      </c>
      <c r="T13">
        <v>5</v>
      </c>
      <c r="U13">
        <f t="shared" si="4"/>
        <v>40</v>
      </c>
      <c r="V13" cm="1">
        <f t="array" ref="V13">PRODUCT(_xlfn.XLOOKUP(R13:T13,$B$3:$B$6,$C$3:$C$6))</f>
        <v>0</v>
      </c>
      <c r="W13">
        <f t="shared" si="5"/>
        <v>0</v>
      </c>
      <c r="Z13">
        <v>2</v>
      </c>
      <c r="AA13">
        <v>2</v>
      </c>
      <c r="AB13">
        <v>4</v>
      </c>
      <c r="AC13">
        <v>5</v>
      </c>
      <c r="AD13">
        <f t="shared" si="6"/>
        <v>80</v>
      </c>
      <c r="AE13" cm="1">
        <f t="array" ref="AE13">PRODUCT(_xlfn.XLOOKUP(Z13:AC13,$B$3:$B$6,$C$3:$C$6))</f>
        <v>0</v>
      </c>
      <c r="AF13">
        <f t="shared" si="7"/>
        <v>0</v>
      </c>
      <c r="AI13">
        <v>2</v>
      </c>
      <c r="AJ13">
        <v>2</v>
      </c>
      <c r="AK13">
        <v>2</v>
      </c>
      <c r="AL13">
        <v>4</v>
      </c>
      <c r="AM13">
        <v>5</v>
      </c>
      <c r="AN13">
        <f t="shared" si="8"/>
        <v>160</v>
      </c>
      <c r="AO13" cm="1">
        <f t="array" ref="AO13">PRODUCT(_xlfn.XLOOKUP(AI13:AM13,$B$3:$B$6,$C$3:$C$6))</f>
        <v>0</v>
      </c>
      <c r="AP13">
        <f t="shared" si="9"/>
        <v>0</v>
      </c>
    </row>
    <row r="14" spans="2:43" x14ac:dyDescent="0.2">
      <c r="K14">
        <v>5</v>
      </c>
      <c r="L14">
        <v>2</v>
      </c>
      <c r="M14">
        <f t="shared" si="2"/>
        <v>10</v>
      </c>
      <c r="N14" cm="1">
        <f t="array" ref="N14">PRODUCT(_xlfn.XLOOKUP(K14:L14,$B$3:$B$6,$C$3:$C$6))</f>
        <v>0.108</v>
      </c>
      <c r="O14">
        <f t="shared" si="3"/>
        <v>1.08</v>
      </c>
      <c r="R14">
        <v>2</v>
      </c>
      <c r="S14">
        <v>5</v>
      </c>
      <c r="T14">
        <v>2</v>
      </c>
      <c r="U14">
        <f t="shared" si="4"/>
        <v>20</v>
      </c>
      <c r="V14" cm="1">
        <f t="array" ref="V14">PRODUCT(_xlfn.XLOOKUP(R14:T14,$B$3:$B$6,$C$3:$C$6))</f>
        <v>6.4799999999999996E-2</v>
      </c>
      <c r="W14">
        <f t="shared" si="5"/>
        <v>1.2959999999999998</v>
      </c>
      <c r="Z14">
        <v>2</v>
      </c>
      <c r="AA14">
        <v>2</v>
      </c>
      <c r="AB14">
        <v>5</v>
      </c>
      <c r="AC14">
        <v>2</v>
      </c>
      <c r="AD14">
        <f t="shared" si="6"/>
        <v>40</v>
      </c>
      <c r="AE14" cm="1">
        <f t="array" ref="AE14">PRODUCT(_xlfn.XLOOKUP(Z14:AC14,$B$3:$B$6,$C$3:$C$6))</f>
        <v>3.8879999999999998E-2</v>
      </c>
      <c r="AF14">
        <f t="shared" si="7"/>
        <v>1.5551999999999999</v>
      </c>
      <c r="AI14">
        <v>2</v>
      </c>
      <c r="AJ14">
        <v>2</v>
      </c>
      <c r="AK14">
        <v>2</v>
      </c>
      <c r="AL14">
        <v>5</v>
      </c>
      <c r="AM14">
        <v>2</v>
      </c>
      <c r="AN14">
        <f t="shared" si="8"/>
        <v>80</v>
      </c>
      <c r="AO14" cm="1">
        <f t="array" ref="AO14">PRODUCT(_xlfn.XLOOKUP(AI14:AM14,$B$3:$B$6,$C$3:$C$6))</f>
        <v>2.3327999999999998E-2</v>
      </c>
      <c r="AP14">
        <f t="shared" si="9"/>
        <v>1.8662399999999999</v>
      </c>
    </row>
    <row r="15" spans="2:43" x14ac:dyDescent="0.2">
      <c r="K15">
        <v>5</v>
      </c>
      <c r="L15">
        <v>3</v>
      </c>
      <c r="M15">
        <f t="shared" si="2"/>
        <v>15</v>
      </c>
      <c r="N15" cm="1">
        <f t="array" ref="N15">PRODUCT(_xlfn.XLOOKUP(K15:L15,$B$3:$B$6,$C$3:$C$6))</f>
        <v>3.9599999999999996E-2</v>
      </c>
      <c r="O15">
        <f t="shared" si="3"/>
        <v>0.59399999999999997</v>
      </c>
      <c r="R15">
        <v>2</v>
      </c>
      <c r="S15">
        <v>5</v>
      </c>
      <c r="T15">
        <v>3</v>
      </c>
      <c r="U15">
        <f t="shared" si="4"/>
        <v>30</v>
      </c>
      <c r="V15" cm="1">
        <f t="array" ref="V15">PRODUCT(_xlfn.XLOOKUP(R15:T15,$B$3:$B$6,$C$3:$C$6))</f>
        <v>2.376E-2</v>
      </c>
      <c r="W15">
        <f t="shared" si="5"/>
        <v>0.71279999999999999</v>
      </c>
      <c r="Z15">
        <v>2</v>
      </c>
      <c r="AA15">
        <v>2</v>
      </c>
      <c r="AB15">
        <v>5</v>
      </c>
      <c r="AC15">
        <v>3</v>
      </c>
      <c r="AD15">
        <f t="shared" si="6"/>
        <v>60</v>
      </c>
      <c r="AE15" cm="1">
        <f t="array" ref="AE15">PRODUCT(_xlfn.XLOOKUP(Z15:AC15,$B$3:$B$6,$C$3:$C$6))</f>
        <v>1.4256E-2</v>
      </c>
      <c r="AF15">
        <f t="shared" si="7"/>
        <v>0.85536000000000001</v>
      </c>
      <c r="AI15">
        <v>2</v>
      </c>
      <c r="AJ15">
        <v>2</v>
      </c>
      <c r="AK15">
        <v>2</v>
      </c>
      <c r="AL15">
        <v>5</v>
      </c>
      <c r="AM15">
        <v>3</v>
      </c>
      <c r="AN15">
        <f t="shared" si="8"/>
        <v>120</v>
      </c>
      <c r="AO15" cm="1">
        <f t="array" ref="AO15">PRODUCT(_xlfn.XLOOKUP(AI15:AM15,$B$3:$B$6,$C$3:$C$6))</f>
        <v>8.5535999999999997E-3</v>
      </c>
      <c r="AP15">
        <f t="shared" si="9"/>
        <v>1.026432</v>
      </c>
    </row>
    <row r="16" spans="2:43" x14ac:dyDescent="0.2">
      <c r="K16">
        <v>5</v>
      </c>
      <c r="L16">
        <v>4</v>
      </c>
      <c r="M16">
        <f t="shared" si="2"/>
        <v>20</v>
      </c>
      <c r="N16" cm="1">
        <f t="array" ref="N16">PRODUCT(_xlfn.XLOOKUP(K16:L16,$B$3:$B$6,$C$3:$C$6))</f>
        <v>0</v>
      </c>
      <c r="O16">
        <f t="shared" si="3"/>
        <v>0</v>
      </c>
      <c r="R16">
        <v>2</v>
      </c>
      <c r="S16">
        <v>5</v>
      </c>
      <c r="T16">
        <v>4</v>
      </c>
      <c r="U16">
        <f t="shared" si="4"/>
        <v>40</v>
      </c>
      <c r="V16" cm="1">
        <f t="array" ref="V16">PRODUCT(_xlfn.XLOOKUP(R16:T16,$B$3:$B$6,$C$3:$C$6))</f>
        <v>0</v>
      </c>
      <c r="W16">
        <f t="shared" si="5"/>
        <v>0</v>
      </c>
      <c r="Z16">
        <v>2</v>
      </c>
      <c r="AA16">
        <v>2</v>
      </c>
      <c r="AB16">
        <v>5</v>
      </c>
      <c r="AC16">
        <v>4</v>
      </c>
      <c r="AD16">
        <f t="shared" si="6"/>
        <v>80</v>
      </c>
      <c r="AE16" cm="1">
        <f t="array" ref="AE16">PRODUCT(_xlfn.XLOOKUP(Z16:AC16,$B$3:$B$6,$C$3:$C$6))</f>
        <v>0</v>
      </c>
      <c r="AF16">
        <f t="shared" si="7"/>
        <v>0</v>
      </c>
      <c r="AI16">
        <v>2</v>
      </c>
      <c r="AJ16">
        <v>2</v>
      </c>
      <c r="AK16">
        <v>2</v>
      </c>
      <c r="AL16">
        <v>5</v>
      </c>
      <c r="AM16">
        <v>4</v>
      </c>
      <c r="AN16">
        <f t="shared" si="8"/>
        <v>160</v>
      </c>
      <c r="AO16" cm="1">
        <f t="array" ref="AO16">PRODUCT(_xlfn.XLOOKUP(AI16:AM16,$B$3:$B$6,$C$3:$C$6))</f>
        <v>0</v>
      </c>
      <c r="AP16">
        <f t="shared" si="9"/>
        <v>0</v>
      </c>
    </row>
    <row r="17" spans="11:42" x14ac:dyDescent="0.2">
      <c r="K17">
        <v>5</v>
      </c>
      <c r="L17">
        <v>5</v>
      </c>
      <c r="M17">
        <f t="shared" si="2"/>
        <v>25</v>
      </c>
      <c r="N17" cm="1">
        <f t="array" ref="N17">PRODUCT(_xlfn.XLOOKUP(K17:L17,$B$3:$B$6,$C$3:$C$6))</f>
        <v>3.2399999999999998E-2</v>
      </c>
      <c r="O17">
        <f t="shared" si="3"/>
        <v>0.80999999999999994</v>
      </c>
      <c r="R17">
        <v>2</v>
      </c>
      <c r="S17">
        <v>5</v>
      </c>
      <c r="T17">
        <v>5</v>
      </c>
      <c r="U17">
        <f t="shared" si="4"/>
        <v>50</v>
      </c>
      <c r="V17" cm="1">
        <f t="array" ref="V17">PRODUCT(_xlfn.XLOOKUP(R17:T17,$B$3:$B$6,$C$3:$C$6))</f>
        <v>1.9439999999999999E-2</v>
      </c>
      <c r="W17">
        <f t="shared" si="5"/>
        <v>0.97199999999999998</v>
      </c>
      <c r="Z17">
        <v>2</v>
      </c>
      <c r="AA17">
        <v>2</v>
      </c>
      <c r="AB17">
        <v>5</v>
      </c>
      <c r="AC17">
        <v>5</v>
      </c>
      <c r="AD17">
        <f t="shared" si="6"/>
        <v>100</v>
      </c>
      <c r="AE17" cm="1">
        <f t="array" ref="AE17">PRODUCT(_xlfn.XLOOKUP(Z17:AC17,$B$3:$B$6,$C$3:$C$6))</f>
        <v>1.1663999999999999E-2</v>
      </c>
      <c r="AF17">
        <f t="shared" si="7"/>
        <v>1.1663999999999999</v>
      </c>
      <c r="AI17">
        <v>2</v>
      </c>
      <c r="AJ17">
        <v>2</v>
      </c>
      <c r="AK17">
        <v>2</v>
      </c>
      <c r="AL17">
        <v>5</v>
      </c>
      <c r="AM17">
        <v>5</v>
      </c>
      <c r="AN17">
        <f t="shared" si="8"/>
        <v>200</v>
      </c>
      <c r="AO17" cm="1">
        <f t="array" ref="AO17">PRODUCT(_xlfn.XLOOKUP(AI17:AM17,$B$3:$B$6,$C$3:$C$6))</f>
        <v>6.9983999999999992E-3</v>
      </c>
      <c r="AP17">
        <f t="shared" si="9"/>
        <v>1.3996799999999998</v>
      </c>
    </row>
    <row r="18" spans="11:42" x14ac:dyDescent="0.2">
      <c r="R18">
        <v>3</v>
      </c>
      <c r="S18">
        <v>2</v>
      </c>
      <c r="T18">
        <v>2</v>
      </c>
      <c r="U18">
        <f t="shared" si="4"/>
        <v>12</v>
      </c>
      <c r="V18" cm="1">
        <f t="array" ref="V18">PRODUCT(_xlfn.XLOOKUP(R18:T18,$B$3:$B$6,$C$3:$C$6))</f>
        <v>7.9200000000000007E-2</v>
      </c>
      <c r="W18">
        <f t="shared" si="5"/>
        <v>0.95040000000000013</v>
      </c>
      <c r="Z18">
        <v>2</v>
      </c>
      <c r="AA18">
        <v>3</v>
      </c>
      <c r="AB18">
        <v>2</v>
      </c>
      <c r="AC18">
        <v>2</v>
      </c>
      <c r="AD18">
        <f t="shared" si="6"/>
        <v>24</v>
      </c>
      <c r="AE18" cm="1">
        <f t="array" ref="AE18">PRODUCT(_xlfn.XLOOKUP(Z18:AC18,$B$3:$B$6,$C$3:$C$6))</f>
        <v>4.752E-2</v>
      </c>
      <c r="AF18">
        <f t="shared" si="7"/>
        <v>1.1404799999999999</v>
      </c>
      <c r="AI18">
        <v>2</v>
      </c>
      <c r="AJ18">
        <v>2</v>
      </c>
      <c r="AK18">
        <v>3</v>
      </c>
      <c r="AL18">
        <v>2</v>
      </c>
      <c r="AM18">
        <v>2</v>
      </c>
      <c r="AN18">
        <f t="shared" si="8"/>
        <v>48</v>
      </c>
      <c r="AO18" cm="1">
        <f t="array" ref="AO18">PRODUCT(_xlfn.XLOOKUP(AI18:AM18,$B$3:$B$6,$C$3:$C$6))</f>
        <v>2.8511999999999996E-2</v>
      </c>
      <c r="AP18">
        <f t="shared" si="9"/>
        <v>1.3685759999999998</v>
      </c>
    </row>
    <row r="19" spans="11:42" x14ac:dyDescent="0.2">
      <c r="R19">
        <v>3</v>
      </c>
      <c r="S19">
        <v>2</v>
      </c>
      <c r="T19">
        <v>3</v>
      </c>
      <c r="U19">
        <f t="shared" si="4"/>
        <v>18</v>
      </c>
      <c r="V19" cm="1">
        <f t="array" ref="V19">PRODUCT(_xlfn.XLOOKUP(R19:T19,$B$3:$B$6,$C$3:$C$6))</f>
        <v>2.904E-2</v>
      </c>
      <c r="W19">
        <f t="shared" si="5"/>
        <v>0.52271999999999996</v>
      </c>
      <c r="Z19">
        <v>2</v>
      </c>
      <c r="AA19">
        <v>3</v>
      </c>
      <c r="AB19">
        <v>2</v>
      </c>
      <c r="AC19">
        <v>3</v>
      </c>
      <c r="AD19">
        <f t="shared" si="6"/>
        <v>36</v>
      </c>
      <c r="AE19" cm="1">
        <f t="array" ref="AE19">PRODUCT(_xlfn.XLOOKUP(Z19:AC19,$B$3:$B$6,$C$3:$C$6))</f>
        <v>1.7424000000000002E-2</v>
      </c>
      <c r="AF19">
        <f t="shared" si="7"/>
        <v>0.62726400000000004</v>
      </c>
      <c r="AI19">
        <v>2</v>
      </c>
      <c r="AJ19">
        <v>2</v>
      </c>
      <c r="AK19">
        <v>3</v>
      </c>
      <c r="AL19">
        <v>2</v>
      </c>
      <c r="AM19">
        <v>3</v>
      </c>
      <c r="AN19">
        <f t="shared" si="8"/>
        <v>72</v>
      </c>
      <c r="AO19" cm="1">
        <f t="array" ref="AO19">PRODUCT(_xlfn.XLOOKUP(AI19:AM19,$B$3:$B$6,$C$3:$C$6))</f>
        <v>1.0454399999999999E-2</v>
      </c>
      <c r="AP19">
        <f t="shared" si="9"/>
        <v>0.75271679999999996</v>
      </c>
    </row>
    <row r="20" spans="11:42" x14ac:dyDescent="0.2">
      <c r="R20">
        <v>3</v>
      </c>
      <c r="S20">
        <v>2</v>
      </c>
      <c r="T20">
        <v>4</v>
      </c>
      <c r="U20">
        <f t="shared" si="4"/>
        <v>24</v>
      </c>
      <c r="V20" cm="1">
        <f t="array" ref="V20">PRODUCT(_xlfn.XLOOKUP(R20:T20,$B$3:$B$6,$C$3:$C$6))</f>
        <v>0</v>
      </c>
      <c r="W20">
        <f t="shared" si="5"/>
        <v>0</v>
      </c>
      <c r="Z20">
        <v>2</v>
      </c>
      <c r="AA20">
        <v>3</v>
      </c>
      <c r="AB20">
        <v>2</v>
      </c>
      <c r="AC20">
        <v>4</v>
      </c>
      <c r="AD20">
        <f t="shared" si="6"/>
        <v>48</v>
      </c>
      <c r="AE20" cm="1">
        <f t="array" ref="AE20">PRODUCT(_xlfn.XLOOKUP(Z20:AC20,$B$3:$B$6,$C$3:$C$6))</f>
        <v>0</v>
      </c>
      <c r="AF20">
        <f t="shared" si="7"/>
        <v>0</v>
      </c>
      <c r="AI20">
        <v>2</v>
      </c>
      <c r="AJ20">
        <v>2</v>
      </c>
      <c r="AK20">
        <v>3</v>
      </c>
      <c r="AL20">
        <v>2</v>
      </c>
      <c r="AM20">
        <v>4</v>
      </c>
      <c r="AN20">
        <f t="shared" si="8"/>
        <v>96</v>
      </c>
      <c r="AO20" cm="1">
        <f t="array" ref="AO20">PRODUCT(_xlfn.XLOOKUP(AI20:AM20,$B$3:$B$6,$C$3:$C$6))</f>
        <v>0</v>
      </c>
      <c r="AP20">
        <f t="shared" si="9"/>
        <v>0</v>
      </c>
    </row>
    <row r="21" spans="11:42" x14ac:dyDescent="0.2">
      <c r="R21">
        <v>3</v>
      </c>
      <c r="S21">
        <v>2</v>
      </c>
      <c r="T21">
        <v>5</v>
      </c>
      <c r="U21">
        <f t="shared" si="4"/>
        <v>30</v>
      </c>
      <c r="V21" cm="1">
        <f t="array" ref="V21">PRODUCT(_xlfn.XLOOKUP(R21:T21,$B$3:$B$6,$C$3:$C$6))</f>
        <v>2.376E-2</v>
      </c>
      <c r="W21">
        <f t="shared" si="5"/>
        <v>0.71279999999999999</v>
      </c>
      <c r="Z21">
        <v>2</v>
      </c>
      <c r="AA21">
        <v>3</v>
      </c>
      <c r="AB21">
        <v>2</v>
      </c>
      <c r="AC21">
        <v>5</v>
      </c>
      <c r="AD21">
        <f t="shared" si="6"/>
        <v>60</v>
      </c>
      <c r="AE21" cm="1">
        <f t="array" ref="AE21">PRODUCT(_xlfn.XLOOKUP(Z21:AC21,$B$3:$B$6,$C$3:$C$6))</f>
        <v>1.4256000000000001E-2</v>
      </c>
      <c r="AF21">
        <f t="shared" si="7"/>
        <v>0.85536000000000012</v>
      </c>
      <c r="AI21">
        <v>2</v>
      </c>
      <c r="AJ21">
        <v>2</v>
      </c>
      <c r="AK21">
        <v>3</v>
      </c>
      <c r="AL21">
        <v>2</v>
      </c>
      <c r="AM21">
        <v>5</v>
      </c>
      <c r="AN21">
        <f t="shared" si="8"/>
        <v>120</v>
      </c>
      <c r="AO21" cm="1">
        <f t="array" ref="AO21">PRODUCT(_xlfn.XLOOKUP(AI21:AM21,$B$3:$B$6,$C$3:$C$6))</f>
        <v>8.553599999999998E-3</v>
      </c>
      <c r="AP21">
        <f t="shared" si="9"/>
        <v>1.0264319999999998</v>
      </c>
    </row>
    <row r="22" spans="11:42" x14ac:dyDescent="0.2">
      <c r="R22">
        <v>3</v>
      </c>
      <c r="S22">
        <v>3</v>
      </c>
      <c r="T22">
        <v>2</v>
      </c>
      <c r="U22">
        <f t="shared" si="4"/>
        <v>18</v>
      </c>
      <c r="V22" cm="1">
        <f t="array" ref="V22">PRODUCT(_xlfn.XLOOKUP(R22:T22,$B$3:$B$6,$C$3:$C$6))</f>
        <v>2.9039999999999996E-2</v>
      </c>
      <c r="W22">
        <f t="shared" si="5"/>
        <v>0.52271999999999996</v>
      </c>
      <c r="Z22">
        <v>2</v>
      </c>
      <c r="AA22">
        <v>3</v>
      </c>
      <c r="AB22">
        <v>3</v>
      </c>
      <c r="AC22">
        <v>2</v>
      </c>
      <c r="AD22">
        <f t="shared" si="6"/>
        <v>36</v>
      </c>
      <c r="AE22" cm="1">
        <f t="array" ref="AE22">PRODUCT(_xlfn.XLOOKUP(Z22:AC22,$B$3:$B$6,$C$3:$C$6))</f>
        <v>1.7423999999999999E-2</v>
      </c>
      <c r="AF22">
        <f t="shared" si="7"/>
        <v>0.62726399999999993</v>
      </c>
      <c r="AI22">
        <v>2</v>
      </c>
      <c r="AJ22">
        <v>2</v>
      </c>
      <c r="AK22">
        <v>3</v>
      </c>
      <c r="AL22">
        <v>3</v>
      </c>
      <c r="AM22">
        <v>2</v>
      </c>
      <c r="AN22">
        <f t="shared" si="8"/>
        <v>72</v>
      </c>
      <c r="AO22" cm="1">
        <f t="array" ref="AO22">PRODUCT(_xlfn.XLOOKUP(AI22:AM22,$B$3:$B$6,$C$3:$C$6))</f>
        <v>1.0454399999999999E-2</v>
      </c>
      <c r="AP22">
        <f t="shared" si="9"/>
        <v>0.75271679999999996</v>
      </c>
    </row>
    <row r="23" spans="11:42" x14ac:dyDescent="0.2">
      <c r="R23">
        <v>3</v>
      </c>
      <c r="S23">
        <v>3</v>
      </c>
      <c r="T23">
        <v>3</v>
      </c>
      <c r="U23">
        <f t="shared" si="4"/>
        <v>27</v>
      </c>
      <c r="V23" cm="1">
        <f t="array" ref="V23">PRODUCT(_xlfn.XLOOKUP(R23:T23,$B$3:$B$6,$C$3:$C$6))</f>
        <v>1.0647999999999999E-2</v>
      </c>
      <c r="W23">
        <f t="shared" si="5"/>
        <v>0.28749599999999997</v>
      </c>
      <c r="Z23">
        <v>2</v>
      </c>
      <c r="AA23">
        <v>3</v>
      </c>
      <c r="AB23">
        <v>3</v>
      </c>
      <c r="AC23">
        <v>3</v>
      </c>
      <c r="AD23">
        <f t="shared" si="6"/>
        <v>54</v>
      </c>
      <c r="AE23" cm="1">
        <f t="array" ref="AE23">PRODUCT(_xlfn.XLOOKUP(Z23:AC23,$B$3:$B$6,$C$3:$C$6))</f>
        <v>6.3888E-3</v>
      </c>
      <c r="AF23">
        <f t="shared" si="7"/>
        <v>0.3449952</v>
      </c>
      <c r="AI23">
        <v>2</v>
      </c>
      <c r="AJ23">
        <v>2</v>
      </c>
      <c r="AK23">
        <v>3</v>
      </c>
      <c r="AL23">
        <v>3</v>
      </c>
      <c r="AM23">
        <v>3</v>
      </c>
      <c r="AN23">
        <f t="shared" si="8"/>
        <v>108</v>
      </c>
      <c r="AO23" cm="1">
        <f t="array" ref="AO23">PRODUCT(_xlfn.XLOOKUP(AI23:AM23,$B$3:$B$6,$C$3:$C$6))</f>
        <v>3.8332799999999997E-3</v>
      </c>
      <c r="AP23">
        <f t="shared" si="9"/>
        <v>0.41399423999999996</v>
      </c>
    </row>
    <row r="24" spans="11:42" x14ac:dyDescent="0.2">
      <c r="R24">
        <v>3</v>
      </c>
      <c r="S24">
        <v>3</v>
      </c>
      <c r="T24">
        <v>4</v>
      </c>
      <c r="U24">
        <f t="shared" si="4"/>
        <v>36</v>
      </c>
      <c r="V24" cm="1">
        <f t="array" ref="V24">PRODUCT(_xlfn.XLOOKUP(R24:T24,$B$3:$B$6,$C$3:$C$6))</f>
        <v>0</v>
      </c>
      <c r="W24">
        <f t="shared" si="5"/>
        <v>0</v>
      </c>
      <c r="Z24">
        <v>2</v>
      </c>
      <c r="AA24">
        <v>3</v>
      </c>
      <c r="AB24">
        <v>3</v>
      </c>
      <c r="AC24">
        <v>4</v>
      </c>
      <c r="AD24">
        <f t="shared" si="6"/>
        <v>72</v>
      </c>
      <c r="AE24" cm="1">
        <f t="array" ref="AE24">PRODUCT(_xlfn.XLOOKUP(Z24:AC24,$B$3:$B$6,$C$3:$C$6))</f>
        <v>0</v>
      </c>
      <c r="AF24">
        <f t="shared" si="7"/>
        <v>0</v>
      </c>
      <c r="AI24">
        <v>2</v>
      </c>
      <c r="AJ24">
        <v>2</v>
      </c>
      <c r="AK24">
        <v>3</v>
      </c>
      <c r="AL24">
        <v>3</v>
      </c>
      <c r="AM24">
        <v>4</v>
      </c>
      <c r="AN24">
        <f t="shared" si="8"/>
        <v>144</v>
      </c>
      <c r="AO24" cm="1">
        <f t="array" ref="AO24">PRODUCT(_xlfn.XLOOKUP(AI24:AM24,$B$3:$B$6,$C$3:$C$6))</f>
        <v>0</v>
      </c>
      <c r="AP24">
        <f t="shared" si="9"/>
        <v>0</v>
      </c>
    </row>
    <row r="25" spans="11:42" x14ac:dyDescent="0.2">
      <c r="R25">
        <v>3</v>
      </c>
      <c r="S25">
        <v>3</v>
      </c>
      <c r="T25">
        <v>5</v>
      </c>
      <c r="U25">
        <f t="shared" si="4"/>
        <v>45</v>
      </c>
      <c r="V25" cm="1">
        <f t="array" ref="V25">PRODUCT(_xlfn.XLOOKUP(R25:T25,$B$3:$B$6,$C$3:$C$6))</f>
        <v>8.7119999999999993E-3</v>
      </c>
      <c r="W25">
        <f t="shared" si="5"/>
        <v>0.39203999999999994</v>
      </c>
      <c r="Z25">
        <v>2</v>
      </c>
      <c r="AA25">
        <v>3</v>
      </c>
      <c r="AB25">
        <v>3</v>
      </c>
      <c r="AC25">
        <v>5</v>
      </c>
      <c r="AD25">
        <f t="shared" si="6"/>
        <v>90</v>
      </c>
      <c r="AE25" cm="1">
        <f t="array" ref="AE25">PRODUCT(_xlfn.XLOOKUP(Z25:AC25,$B$3:$B$6,$C$3:$C$6))</f>
        <v>5.2271999999999996E-3</v>
      </c>
      <c r="AF25">
        <f t="shared" si="7"/>
        <v>0.47044799999999998</v>
      </c>
      <c r="AI25">
        <v>2</v>
      </c>
      <c r="AJ25">
        <v>2</v>
      </c>
      <c r="AK25">
        <v>3</v>
      </c>
      <c r="AL25">
        <v>3</v>
      </c>
      <c r="AM25">
        <v>5</v>
      </c>
      <c r="AN25">
        <f t="shared" si="8"/>
        <v>180</v>
      </c>
      <c r="AO25" cm="1">
        <f t="array" ref="AO25">PRODUCT(_xlfn.XLOOKUP(AI25:AM25,$B$3:$B$6,$C$3:$C$6))</f>
        <v>3.1363199999999997E-3</v>
      </c>
      <c r="AP25">
        <f t="shared" si="9"/>
        <v>0.56453759999999997</v>
      </c>
    </row>
    <row r="26" spans="11:42" x14ac:dyDescent="0.2">
      <c r="R26">
        <v>3</v>
      </c>
      <c r="S26">
        <v>4</v>
      </c>
      <c r="T26">
        <v>2</v>
      </c>
      <c r="U26">
        <f t="shared" si="4"/>
        <v>24</v>
      </c>
      <c r="V26" cm="1">
        <f t="array" ref="V26">PRODUCT(_xlfn.XLOOKUP(R26:T26,$B$3:$B$6,$C$3:$C$6))</f>
        <v>0</v>
      </c>
      <c r="W26">
        <f t="shared" si="5"/>
        <v>0</v>
      </c>
      <c r="Z26">
        <v>2</v>
      </c>
      <c r="AA26">
        <v>3</v>
      </c>
      <c r="AB26">
        <v>4</v>
      </c>
      <c r="AC26">
        <v>2</v>
      </c>
      <c r="AD26">
        <f t="shared" si="6"/>
        <v>48</v>
      </c>
      <c r="AE26" cm="1">
        <f t="array" ref="AE26">PRODUCT(_xlfn.XLOOKUP(Z26:AC26,$B$3:$B$6,$C$3:$C$6))</f>
        <v>0</v>
      </c>
      <c r="AF26">
        <f t="shared" si="7"/>
        <v>0</v>
      </c>
      <c r="AI26">
        <v>2</v>
      </c>
      <c r="AJ26">
        <v>2</v>
      </c>
      <c r="AK26">
        <v>3</v>
      </c>
      <c r="AL26">
        <v>4</v>
      </c>
      <c r="AM26">
        <v>2</v>
      </c>
      <c r="AN26">
        <f t="shared" si="8"/>
        <v>96</v>
      </c>
      <c r="AO26" cm="1">
        <f t="array" ref="AO26">PRODUCT(_xlfn.XLOOKUP(AI26:AM26,$B$3:$B$6,$C$3:$C$6))</f>
        <v>0</v>
      </c>
      <c r="AP26">
        <f t="shared" si="9"/>
        <v>0</v>
      </c>
    </row>
    <row r="27" spans="11:42" x14ac:dyDescent="0.2">
      <c r="R27">
        <v>3</v>
      </c>
      <c r="S27">
        <v>4</v>
      </c>
      <c r="T27">
        <v>3</v>
      </c>
      <c r="U27">
        <f t="shared" si="4"/>
        <v>36</v>
      </c>
      <c r="V27" cm="1">
        <f t="array" ref="V27">PRODUCT(_xlfn.XLOOKUP(R27:T27,$B$3:$B$6,$C$3:$C$6))</f>
        <v>0</v>
      </c>
      <c r="W27">
        <f t="shared" si="5"/>
        <v>0</v>
      </c>
      <c r="Z27">
        <v>2</v>
      </c>
      <c r="AA27">
        <v>3</v>
      </c>
      <c r="AB27">
        <v>4</v>
      </c>
      <c r="AC27">
        <v>3</v>
      </c>
      <c r="AD27">
        <f t="shared" si="6"/>
        <v>72</v>
      </c>
      <c r="AE27" cm="1">
        <f t="array" ref="AE27">PRODUCT(_xlfn.XLOOKUP(Z27:AC27,$B$3:$B$6,$C$3:$C$6))</f>
        <v>0</v>
      </c>
      <c r="AF27">
        <f t="shared" si="7"/>
        <v>0</v>
      </c>
      <c r="AI27">
        <v>2</v>
      </c>
      <c r="AJ27">
        <v>2</v>
      </c>
      <c r="AK27">
        <v>3</v>
      </c>
      <c r="AL27">
        <v>4</v>
      </c>
      <c r="AM27">
        <v>3</v>
      </c>
      <c r="AN27">
        <f t="shared" si="8"/>
        <v>144</v>
      </c>
      <c r="AO27" cm="1">
        <f t="array" ref="AO27">PRODUCT(_xlfn.XLOOKUP(AI27:AM27,$B$3:$B$6,$C$3:$C$6))</f>
        <v>0</v>
      </c>
      <c r="AP27">
        <f t="shared" si="9"/>
        <v>0</v>
      </c>
    </row>
    <row r="28" spans="11:42" x14ac:dyDescent="0.2">
      <c r="R28">
        <v>3</v>
      </c>
      <c r="S28">
        <v>4</v>
      </c>
      <c r="T28">
        <v>4</v>
      </c>
      <c r="U28">
        <f t="shared" si="4"/>
        <v>48</v>
      </c>
      <c r="V28" cm="1">
        <f t="array" ref="V28">PRODUCT(_xlfn.XLOOKUP(R28:T28,$B$3:$B$6,$C$3:$C$6))</f>
        <v>0</v>
      </c>
      <c r="W28">
        <f t="shared" si="5"/>
        <v>0</v>
      </c>
      <c r="Z28">
        <v>2</v>
      </c>
      <c r="AA28">
        <v>3</v>
      </c>
      <c r="AB28">
        <v>4</v>
      </c>
      <c r="AC28">
        <v>4</v>
      </c>
      <c r="AD28">
        <f t="shared" si="6"/>
        <v>96</v>
      </c>
      <c r="AE28" cm="1">
        <f t="array" ref="AE28">PRODUCT(_xlfn.XLOOKUP(Z28:AC28,$B$3:$B$6,$C$3:$C$6))</f>
        <v>0</v>
      </c>
      <c r="AF28">
        <f t="shared" si="7"/>
        <v>0</v>
      </c>
      <c r="AI28">
        <v>2</v>
      </c>
      <c r="AJ28">
        <v>2</v>
      </c>
      <c r="AK28">
        <v>3</v>
      </c>
      <c r="AL28">
        <v>4</v>
      </c>
      <c r="AM28">
        <v>4</v>
      </c>
      <c r="AN28">
        <f t="shared" si="8"/>
        <v>192</v>
      </c>
      <c r="AO28" cm="1">
        <f t="array" ref="AO28">PRODUCT(_xlfn.XLOOKUP(AI28:AM28,$B$3:$B$6,$C$3:$C$6))</f>
        <v>0</v>
      </c>
      <c r="AP28">
        <f t="shared" si="9"/>
        <v>0</v>
      </c>
    </row>
    <row r="29" spans="11:42" x14ac:dyDescent="0.2">
      <c r="R29">
        <v>3</v>
      </c>
      <c r="S29">
        <v>4</v>
      </c>
      <c r="T29">
        <v>5</v>
      </c>
      <c r="U29">
        <f t="shared" si="4"/>
        <v>60</v>
      </c>
      <c r="V29" cm="1">
        <f t="array" ref="V29">PRODUCT(_xlfn.XLOOKUP(R29:T29,$B$3:$B$6,$C$3:$C$6))</f>
        <v>0</v>
      </c>
      <c r="W29">
        <f t="shared" si="5"/>
        <v>0</v>
      </c>
      <c r="Z29">
        <v>2</v>
      </c>
      <c r="AA29">
        <v>3</v>
      </c>
      <c r="AB29">
        <v>4</v>
      </c>
      <c r="AC29">
        <v>5</v>
      </c>
      <c r="AD29">
        <f t="shared" si="6"/>
        <v>120</v>
      </c>
      <c r="AE29" cm="1">
        <f t="array" ref="AE29">PRODUCT(_xlfn.XLOOKUP(Z29:AC29,$B$3:$B$6,$C$3:$C$6))</f>
        <v>0</v>
      </c>
      <c r="AF29">
        <f t="shared" si="7"/>
        <v>0</v>
      </c>
      <c r="AI29">
        <v>2</v>
      </c>
      <c r="AJ29">
        <v>2</v>
      </c>
      <c r="AK29">
        <v>3</v>
      </c>
      <c r="AL29">
        <v>4</v>
      </c>
      <c r="AM29">
        <v>5</v>
      </c>
      <c r="AN29">
        <f t="shared" si="8"/>
        <v>240</v>
      </c>
      <c r="AO29" cm="1">
        <f t="array" ref="AO29">PRODUCT(_xlfn.XLOOKUP(AI29:AM29,$B$3:$B$6,$C$3:$C$6))</f>
        <v>0</v>
      </c>
      <c r="AP29">
        <f t="shared" si="9"/>
        <v>0</v>
      </c>
    </row>
    <row r="30" spans="11:42" x14ac:dyDescent="0.2">
      <c r="R30">
        <v>3</v>
      </c>
      <c r="S30">
        <v>5</v>
      </c>
      <c r="T30">
        <v>2</v>
      </c>
      <c r="U30">
        <f t="shared" si="4"/>
        <v>30</v>
      </c>
      <c r="V30" cm="1">
        <f t="array" ref="V30">PRODUCT(_xlfn.XLOOKUP(R30:T30,$B$3:$B$6,$C$3:$C$6))</f>
        <v>2.3759999999999996E-2</v>
      </c>
      <c r="W30">
        <f t="shared" si="5"/>
        <v>0.71279999999999988</v>
      </c>
      <c r="Z30">
        <v>2</v>
      </c>
      <c r="AA30">
        <v>3</v>
      </c>
      <c r="AB30">
        <v>5</v>
      </c>
      <c r="AC30">
        <v>2</v>
      </c>
      <c r="AD30">
        <f t="shared" si="6"/>
        <v>60</v>
      </c>
      <c r="AE30" cm="1">
        <f t="array" ref="AE30">PRODUCT(_xlfn.XLOOKUP(Z30:AC30,$B$3:$B$6,$C$3:$C$6))</f>
        <v>1.4256E-2</v>
      </c>
      <c r="AF30">
        <f t="shared" si="7"/>
        <v>0.85536000000000001</v>
      </c>
      <c r="AI30">
        <v>2</v>
      </c>
      <c r="AJ30">
        <v>2</v>
      </c>
      <c r="AK30">
        <v>3</v>
      </c>
      <c r="AL30">
        <v>5</v>
      </c>
      <c r="AM30">
        <v>2</v>
      </c>
      <c r="AN30">
        <f t="shared" si="8"/>
        <v>120</v>
      </c>
      <c r="AO30" cm="1">
        <f t="array" ref="AO30">PRODUCT(_xlfn.XLOOKUP(AI30:AM30,$B$3:$B$6,$C$3:$C$6))</f>
        <v>8.553599999999998E-3</v>
      </c>
      <c r="AP30">
        <f t="shared" si="9"/>
        <v>1.0264319999999998</v>
      </c>
    </row>
    <row r="31" spans="11:42" x14ac:dyDescent="0.2">
      <c r="R31">
        <v>3</v>
      </c>
      <c r="S31">
        <v>5</v>
      </c>
      <c r="T31">
        <v>3</v>
      </c>
      <c r="U31">
        <f t="shared" si="4"/>
        <v>45</v>
      </c>
      <c r="V31" cm="1">
        <f t="array" ref="V31">PRODUCT(_xlfn.XLOOKUP(R31:T31,$B$3:$B$6,$C$3:$C$6))</f>
        <v>8.7119999999999993E-3</v>
      </c>
      <c r="W31">
        <f t="shared" si="5"/>
        <v>0.39203999999999994</v>
      </c>
      <c r="Z31">
        <v>2</v>
      </c>
      <c r="AA31">
        <v>3</v>
      </c>
      <c r="AB31">
        <v>5</v>
      </c>
      <c r="AC31">
        <v>3</v>
      </c>
      <c r="AD31">
        <f t="shared" si="6"/>
        <v>90</v>
      </c>
      <c r="AE31" cm="1">
        <f t="array" ref="AE31">PRODUCT(_xlfn.XLOOKUP(Z31:AC31,$B$3:$B$6,$C$3:$C$6))</f>
        <v>5.2272000000000004E-3</v>
      </c>
      <c r="AF31">
        <f t="shared" si="7"/>
        <v>0.47044800000000003</v>
      </c>
      <c r="AI31">
        <v>2</v>
      </c>
      <c r="AJ31">
        <v>2</v>
      </c>
      <c r="AK31">
        <v>3</v>
      </c>
      <c r="AL31">
        <v>5</v>
      </c>
      <c r="AM31">
        <v>3</v>
      </c>
      <c r="AN31">
        <f t="shared" si="8"/>
        <v>180</v>
      </c>
      <c r="AO31" cm="1">
        <f t="array" ref="AO31">PRODUCT(_xlfn.XLOOKUP(AI31:AM31,$B$3:$B$6,$C$3:$C$6))</f>
        <v>3.1363199999999997E-3</v>
      </c>
      <c r="AP31">
        <f t="shared" si="9"/>
        <v>0.56453759999999997</v>
      </c>
    </row>
    <row r="32" spans="11:42" x14ac:dyDescent="0.2">
      <c r="R32">
        <v>3</v>
      </c>
      <c r="S32">
        <v>5</v>
      </c>
      <c r="T32">
        <v>4</v>
      </c>
      <c r="U32">
        <f t="shared" si="4"/>
        <v>60</v>
      </c>
      <c r="V32" cm="1">
        <f t="array" ref="V32">PRODUCT(_xlfn.XLOOKUP(R32:T32,$B$3:$B$6,$C$3:$C$6))</f>
        <v>0</v>
      </c>
      <c r="W32">
        <f t="shared" si="5"/>
        <v>0</v>
      </c>
      <c r="Z32">
        <v>2</v>
      </c>
      <c r="AA32">
        <v>3</v>
      </c>
      <c r="AB32">
        <v>5</v>
      </c>
      <c r="AC32">
        <v>4</v>
      </c>
      <c r="AD32">
        <f t="shared" si="6"/>
        <v>120</v>
      </c>
      <c r="AE32" cm="1">
        <f t="array" ref="AE32">PRODUCT(_xlfn.XLOOKUP(Z32:AC32,$B$3:$B$6,$C$3:$C$6))</f>
        <v>0</v>
      </c>
      <c r="AF32">
        <f t="shared" si="7"/>
        <v>0</v>
      </c>
      <c r="AI32">
        <v>2</v>
      </c>
      <c r="AJ32">
        <v>2</v>
      </c>
      <c r="AK32">
        <v>3</v>
      </c>
      <c r="AL32">
        <v>5</v>
      </c>
      <c r="AM32">
        <v>4</v>
      </c>
      <c r="AN32">
        <f t="shared" si="8"/>
        <v>240</v>
      </c>
      <c r="AO32" cm="1">
        <f t="array" ref="AO32">PRODUCT(_xlfn.XLOOKUP(AI32:AM32,$B$3:$B$6,$C$3:$C$6))</f>
        <v>0</v>
      </c>
      <c r="AP32">
        <f t="shared" si="9"/>
        <v>0</v>
      </c>
    </row>
    <row r="33" spans="18:42" x14ac:dyDescent="0.2">
      <c r="R33">
        <v>3</v>
      </c>
      <c r="S33">
        <v>5</v>
      </c>
      <c r="T33">
        <v>5</v>
      </c>
      <c r="U33">
        <f t="shared" si="4"/>
        <v>75</v>
      </c>
      <c r="V33" cm="1">
        <f t="array" ref="V33">PRODUCT(_xlfn.XLOOKUP(R33:T33,$B$3:$B$6,$C$3:$C$6))</f>
        <v>7.1279999999999989E-3</v>
      </c>
      <c r="W33">
        <f t="shared" si="5"/>
        <v>0.53459999999999996</v>
      </c>
      <c r="Z33">
        <v>2</v>
      </c>
      <c r="AA33">
        <v>3</v>
      </c>
      <c r="AB33">
        <v>5</v>
      </c>
      <c r="AC33">
        <v>5</v>
      </c>
      <c r="AD33">
        <f t="shared" si="6"/>
        <v>150</v>
      </c>
      <c r="AE33" cm="1">
        <f t="array" ref="AE33">PRODUCT(_xlfn.XLOOKUP(Z33:AC33,$B$3:$B$6,$C$3:$C$6))</f>
        <v>4.2767999999999999E-3</v>
      </c>
      <c r="AF33">
        <f t="shared" si="7"/>
        <v>0.64151999999999998</v>
      </c>
      <c r="AI33">
        <v>2</v>
      </c>
      <c r="AJ33">
        <v>2</v>
      </c>
      <c r="AK33">
        <v>3</v>
      </c>
      <c r="AL33">
        <v>5</v>
      </c>
      <c r="AM33">
        <v>5</v>
      </c>
      <c r="AN33">
        <f t="shared" si="8"/>
        <v>300</v>
      </c>
      <c r="AO33" cm="1">
        <f t="array" ref="AO33">PRODUCT(_xlfn.XLOOKUP(AI33:AM33,$B$3:$B$6,$C$3:$C$6))</f>
        <v>2.5660799999999997E-3</v>
      </c>
      <c r="AP33">
        <f t="shared" si="9"/>
        <v>0.76982399999999995</v>
      </c>
    </row>
    <row r="34" spans="18:42" x14ac:dyDescent="0.2">
      <c r="R34">
        <v>4</v>
      </c>
      <c r="S34">
        <v>2</v>
      </c>
      <c r="T34">
        <v>2</v>
      </c>
      <c r="U34">
        <f t="shared" si="4"/>
        <v>16</v>
      </c>
      <c r="V34" cm="1">
        <f t="array" ref="V34">PRODUCT(_xlfn.XLOOKUP(R34:T34,$B$3:$B$6,$C$3:$C$6))</f>
        <v>0</v>
      </c>
      <c r="W34">
        <f t="shared" si="5"/>
        <v>0</v>
      </c>
      <c r="Z34">
        <v>2</v>
      </c>
      <c r="AA34">
        <v>4</v>
      </c>
      <c r="AB34">
        <v>2</v>
      </c>
      <c r="AC34">
        <v>2</v>
      </c>
      <c r="AD34">
        <f t="shared" si="6"/>
        <v>32</v>
      </c>
      <c r="AE34" cm="1">
        <f t="array" ref="AE34">PRODUCT(_xlfn.XLOOKUP(Z34:AC34,$B$3:$B$6,$C$3:$C$6))</f>
        <v>0</v>
      </c>
      <c r="AF34">
        <f t="shared" si="7"/>
        <v>0</v>
      </c>
      <c r="AI34">
        <v>2</v>
      </c>
      <c r="AJ34">
        <v>2</v>
      </c>
      <c r="AK34">
        <v>4</v>
      </c>
      <c r="AL34">
        <v>2</v>
      </c>
      <c r="AM34">
        <v>2</v>
      </c>
      <c r="AN34">
        <f t="shared" si="8"/>
        <v>64</v>
      </c>
      <c r="AO34" cm="1">
        <f t="array" ref="AO34">PRODUCT(_xlfn.XLOOKUP(AI34:AM34,$B$3:$B$6,$C$3:$C$6))</f>
        <v>0</v>
      </c>
      <c r="AP34">
        <f t="shared" si="9"/>
        <v>0</v>
      </c>
    </row>
    <row r="35" spans="18:42" x14ac:dyDescent="0.2">
      <c r="R35">
        <v>4</v>
      </c>
      <c r="S35">
        <v>2</v>
      </c>
      <c r="T35">
        <v>3</v>
      </c>
      <c r="U35">
        <f t="shared" si="4"/>
        <v>24</v>
      </c>
      <c r="V35" cm="1">
        <f t="array" ref="V35">PRODUCT(_xlfn.XLOOKUP(R35:T35,$B$3:$B$6,$C$3:$C$6))</f>
        <v>0</v>
      </c>
      <c r="W35">
        <f t="shared" si="5"/>
        <v>0</v>
      </c>
      <c r="Z35">
        <v>2</v>
      </c>
      <c r="AA35">
        <v>4</v>
      </c>
      <c r="AB35">
        <v>2</v>
      </c>
      <c r="AC35">
        <v>3</v>
      </c>
      <c r="AD35">
        <f t="shared" si="6"/>
        <v>48</v>
      </c>
      <c r="AE35" cm="1">
        <f t="array" ref="AE35">PRODUCT(_xlfn.XLOOKUP(Z35:AC35,$B$3:$B$6,$C$3:$C$6))</f>
        <v>0</v>
      </c>
      <c r="AF35">
        <f t="shared" si="7"/>
        <v>0</v>
      </c>
      <c r="AI35">
        <v>2</v>
      </c>
      <c r="AJ35">
        <v>2</v>
      </c>
      <c r="AK35">
        <v>4</v>
      </c>
      <c r="AL35">
        <v>2</v>
      </c>
      <c r="AM35">
        <v>3</v>
      </c>
      <c r="AN35">
        <f t="shared" si="8"/>
        <v>96</v>
      </c>
      <c r="AO35" cm="1">
        <f t="array" ref="AO35">PRODUCT(_xlfn.XLOOKUP(AI35:AM35,$B$3:$B$6,$C$3:$C$6))</f>
        <v>0</v>
      </c>
      <c r="AP35">
        <f t="shared" si="9"/>
        <v>0</v>
      </c>
    </row>
    <row r="36" spans="18:42" x14ac:dyDescent="0.2">
      <c r="R36">
        <v>4</v>
      </c>
      <c r="S36">
        <v>2</v>
      </c>
      <c r="T36">
        <v>4</v>
      </c>
      <c r="U36">
        <f t="shared" si="4"/>
        <v>32</v>
      </c>
      <c r="V36" cm="1">
        <f t="array" ref="V36">PRODUCT(_xlfn.XLOOKUP(R36:T36,$B$3:$B$6,$C$3:$C$6))</f>
        <v>0</v>
      </c>
      <c r="W36">
        <f t="shared" si="5"/>
        <v>0</v>
      </c>
      <c r="Z36">
        <v>2</v>
      </c>
      <c r="AA36">
        <v>4</v>
      </c>
      <c r="AB36">
        <v>2</v>
      </c>
      <c r="AC36">
        <v>4</v>
      </c>
      <c r="AD36">
        <f t="shared" si="6"/>
        <v>64</v>
      </c>
      <c r="AE36" cm="1">
        <f t="array" ref="AE36">PRODUCT(_xlfn.XLOOKUP(Z36:AC36,$B$3:$B$6,$C$3:$C$6))</f>
        <v>0</v>
      </c>
      <c r="AF36">
        <f t="shared" si="7"/>
        <v>0</v>
      </c>
      <c r="AI36">
        <v>2</v>
      </c>
      <c r="AJ36">
        <v>2</v>
      </c>
      <c r="AK36">
        <v>4</v>
      </c>
      <c r="AL36">
        <v>2</v>
      </c>
      <c r="AM36">
        <v>4</v>
      </c>
      <c r="AN36">
        <f t="shared" si="8"/>
        <v>128</v>
      </c>
      <c r="AO36" cm="1">
        <f t="array" ref="AO36">PRODUCT(_xlfn.XLOOKUP(AI36:AM36,$B$3:$B$6,$C$3:$C$6))</f>
        <v>0</v>
      </c>
      <c r="AP36">
        <f t="shared" si="9"/>
        <v>0</v>
      </c>
    </row>
    <row r="37" spans="18:42" x14ac:dyDescent="0.2">
      <c r="R37">
        <v>4</v>
      </c>
      <c r="S37">
        <v>2</v>
      </c>
      <c r="T37">
        <v>5</v>
      </c>
      <c r="U37">
        <f t="shared" si="4"/>
        <v>40</v>
      </c>
      <c r="V37" cm="1">
        <f t="array" ref="V37">PRODUCT(_xlfn.XLOOKUP(R37:T37,$B$3:$B$6,$C$3:$C$6))</f>
        <v>0</v>
      </c>
      <c r="W37">
        <f t="shared" si="5"/>
        <v>0</v>
      </c>
      <c r="Z37">
        <v>2</v>
      </c>
      <c r="AA37">
        <v>4</v>
      </c>
      <c r="AB37">
        <v>2</v>
      </c>
      <c r="AC37">
        <v>5</v>
      </c>
      <c r="AD37">
        <f t="shared" si="6"/>
        <v>80</v>
      </c>
      <c r="AE37" cm="1">
        <f t="array" ref="AE37">PRODUCT(_xlfn.XLOOKUP(Z37:AC37,$B$3:$B$6,$C$3:$C$6))</f>
        <v>0</v>
      </c>
      <c r="AF37">
        <f t="shared" si="7"/>
        <v>0</v>
      </c>
      <c r="AI37">
        <v>2</v>
      </c>
      <c r="AJ37">
        <v>2</v>
      </c>
      <c r="AK37">
        <v>4</v>
      </c>
      <c r="AL37">
        <v>2</v>
      </c>
      <c r="AM37">
        <v>5</v>
      </c>
      <c r="AN37">
        <f t="shared" si="8"/>
        <v>160</v>
      </c>
      <c r="AO37" cm="1">
        <f t="array" ref="AO37">PRODUCT(_xlfn.XLOOKUP(AI37:AM37,$B$3:$B$6,$C$3:$C$6))</f>
        <v>0</v>
      </c>
      <c r="AP37">
        <f t="shared" si="9"/>
        <v>0</v>
      </c>
    </row>
    <row r="38" spans="18:42" x14ac:dyDescent="0.2">
      <c r="R38">
        <v>4</v>
      </c>
      <c r="S38">
        <v>3</v>
      </c>
      <c r="T38">
        <v>2</v>
      </c>
      <c r="U38">
        <f t="shared" si="4"/>
        <v>24</v>
      </c>
      <c r="V38" cm="1">
        <f t="array" ref="V38">PRODUCT(_xlfn.XLOOKUP(R38:T38,$B$3:$B$6,$C$3:$C$6))</f>
        <v>0</v>
      </c>
      <c r="W38">
        <f t="shared" si="5"/>
        <v>0</v>
      </c>
      <c r="Z38">
        <v>2</v>
      </c>
      <c r="AA38">
        <v>4</v>
      </c>
      <c r="AB38">
        <v>3</v>
      </c>
      <c r="AC38">
        <v>2</v>
      </c>
      <c r="AD38">
        <f t="shared" si="6"/>
        <v>48</v>
      </c>
      <c r="AE38" cm="1">
        <f t="array" ref="AE38">PRODUCT(_xlfn.XLOOKUP(Z38:AC38,$B$3:$B$6,$C$3:$C$6))</f>
        <v>0</v>
      </c>
      <c r="AF38">
        <f t="shared" si="7"/>
        <v>0</v>
      </c>
      <c r="AI38">
        <v>2</v>
      </c>
      <c r="AJ38">
        <v>2</v>
      </c>
      <c r="AK38">
        <v>4</v>
      </c>
      <c r="AL38">
        <v>3</v>
      </c>
      <c r="AM38">
        <v>2</v>
      </c>
      <c r="AN38">
        <f t="shared" si="8"/>
        <v>96</v>
      </c>
      <c r="AO38" cm="1">
        <f t="array" ref="AO38">PRODUCT(_xlfn.XLOOKUP(AI38:AM38,$B$3:$B$6,$C$3:$C$6))</f>
        <v>0</v>
      </c>
      <c r="AP38">
        <f t="shared" si="9"/>
        <v>0</v>
      </c>
    </row>
    <row r="39" spans="18:42" x14ac:dyDescent="0.2">
      <c r="R39">
        <v>4</v>
      </c>
      <c r="S39">
        <v>3</v>
      </c>
      <c r="T39">
        <v>3</v>
      </c>
      <c r="U39">
        <f t="shared" si="4"/>
        <v>36</v>
      </c>
      <c r="V39" cm="1">
        <f t="array" ref="V39">PRODUCT(_xlfn.XLOOKUP(R39:T39,$B$3:$B$6,$C$3:$C$6))</f>
        <v>0</v>
      </c>
      <c r="W39">
        <f t="shared" si="5"/>
        <v>0</v>
      </c>
      <c r="Z39">
        <v>2</v>
      </c>
      <c r="AA39">
        <v>4</v>
      </c>
      <c r="AB39">
        <v>3</v>
      </c>
      <c r="AC39">
        <v>3</v>
      </c>
      <c r="AD39">
        <f t="shared" si="6"/>
        <v>72</v>
      </c>
      <c r="AE39" cm="1">
        <f t="array" ref="AE39">PRODUCT(_xlfn.XLOOKUP(Z39:AC39,$B$3:$B$6,$C$3:$C$6))</f>
        <v>0</v>
      </c>
      <c r="AF39">
        <f t="shared" si="7"/>
        <v>0</v>
      </c>
      <c r="AI39">
        <v>2</v>
      </c>
      <c r="AJ39">
        <v>2</v>
      </c>
      <c r="AK39">
        <v>4</v>
      </c>
      <c r="AL39">
        <v>3</v>
      </c>
      <c r="AM39">
        <v>3</v>
      </c>
      <c r="AN39">
        <f t="shared" si="8"/>
        <v>144</v>
      </c>
      <c r="AO39" cm="1">
        <f t="array" ref="AO39">PRODUCT(_xlfn.XLOOKUP(AI39:AM39,$B$3:$B$6,$C$3:$C$6))</f>
        <v>0</v>
      </c>
      <c r="AP39">
        <f t="shared" si="9"/>
        <v>0</v>
      </c>
    </row>
    <row r="40" spans="18:42" x14ac:dyDescent="0.2">
      <c r="R40">
        <v>4</v>
      </c>
      <c r="S40">
        <v>3</v>
      </c>
      <c r="T40">
        <v>4</v>
      </c>
      <c r="U40">
        <f t="shared" si="4"/>
        <v>48</v>
      </c>
      <c r="V40" cm="1">
        <f t="array" ref="V40">PRODUCT(_xlfn.XLOOKUP(R40:T40,$B$3:$B$6,$C$3:$C$6))</f>
        <v>0</v>
      </c>
      <c r="W40">
        <f t="shared" si="5"/>
        <v>0</v>
      </c>
      <c r="Z40">
        <v>2</v>
      </c>
      <c r="AA40">
        <v>4</v>
      </c>
      <c r="AB40">
        <v>3</v>
      </c>
      <c r="AC40">
        <v>4</v>
      </c>
      <c r="AD40">
        <f t="shared" si="6"/>
        <v>96</v>
      </c>
      <c r="AE40" cm="1">
        <f t="array" ref="AE40">PRODUCT(_xlfn.XLOOKUP(Z40:AC40,$B$3:$B$6,$C$3:$C$6))</f>
        <v>0</v>
      </c>
      <c r="AF40">
        <f t="shared" si="7"/>
        <v>0</v>
      </c>
      <c r="AI40">
        <v>2</v>
      </c>
      <c r="AJ40">
        <v>2</v>
      </c>
      <c r="AK40">
        <v>4</v>
      </c>
      <c r="AL40">
        <v>3</v>
      </c>
      <c r="AM40">
        <v>4</v>
      </c>
      <c r="AN40">
        <f t="shared" si="8"/>
        <v>192</v>
      </c>
      <c r="AO40" cm="1">
        <f t="array" ref="AO40">PRODUCT(_xlfn.XLOOKUP(AI40:AM40,$B$3:$B$6,$C$3:$C$6))</f>
        <v>0</v>
      </c>
      <c r="AP40">
        <f t="shared" si="9"/>
        <v>0</v>
      </c>
    </row>
    <row r="41" spans="18:42" x14ac:dyDescent="0.2">
      <c r="R41">
        <v>4</v>
      </c>
      <c r="S41">
        <v>3</v>
      </c>
      <c r="T41">
        <v>5</v>
      </c>
      <c r="U41">
        <f t="shared" si="4"/>
        <v>60</v>
      </c>
      <c r="V41" cm="1">
        <f t="array" ref="V41">PRODUCT(_xlfn.XLOOKUP(R41:T41,$B$3:$B$6,$C$3:$C$6))</f>
        <v>0</v>
      </c>
      <c r="W41">
        <f t="shared" si="5"/>
        <v>0</v>
      </c>
      <c r="Z41">
        <v>2</v>
      </c>
      <c r="AA41">
        <v>4</v>
      </c>
      <c r="AB41">
        <v>3</v>
      </c>
      <c r="AC41">
        <v>5</v>
      </c>
      <c r="AD41">
        <f t="shared" si="6"/>
        <v>120</v>
      </c>
      <c r="AE41" cm="1">
        <f t="array" ref="AE41">PRODUCT(_xlfn.XLOOKUP(Z41:AC41,$B$3:$B$6,$C$3:$C$6))</f>
        <v>0</v>
      </c>
      <c r="AF41">
        <f t="shared" si="7"/>
        <v>0</v>
      </c>
      <c r="AI41">
        <v>2</v>
      </c>
      <c r="AJ41">
        <v>2</v>
      </c>
      <c r="AK41">
        <v>4</v>
      </c>
      <c r="AL41">
        <v>3</v>
      </c>
      <c r="AM41">
        <v>5</v>
      </c>
      <c r="AN41">
        <f t="shared" si="8"/>
        <v>240</v>
      </c>
      <c r="AO41" cm="1">
        <f t="array" ref="AO41">PRODUCT(_xlfn.XLOOKUP(AI41:AM41,$B$3:$B$6,$C$3:$C$6))</f>
        <v>0</v>
      </c>
      <c r="AP41">
        <f t="shared" si="9"/>
        <v>0</v>
      </c>
    </row>
    <row r="42" spans="18:42" x14ac:dyDescent="0.2">
      <c r="R42">
        <v>4</v>
      </c>
      <c r="S42">
        <v>4</v>
      </c>
      <c r="T42">
        <v>2</v>
      </c>
      <c r="U42">
        <f t="shared" si="4"/>
        <v>32</v>
      </c>
      <c r="V42" cm="1">
        <f t="array" ref="V42">PRODUCT(_xlfn.XLOOKUP(R42:T42,$B$3:$B$6,$C$3:$C$6))</f>
        <v>0</v>
      </c>
      <c r="W42">
        <f t="shared" si="5"/>
        <v>0</v>
      </c>
      <c r="Z42">
        <v>2</v>
      </c>
      <c r="AA42">
        <v>4</v>
      </c>
      <c r="AB42">
        <v>4</v>
      </c>
      <c r="AC42">
        <v>2</v>
      </c>
      <c r="AD42">
        <f t="shared" si="6"/>
        <v>64</v>
      </c>
      <c r="AE42" cm="1">
        <f t="array" ref="AE42">PRODUCT(_xlfn.XLOOKUP(Z42:AC42,$B$3:$B$6,$C$3:$C$6))</f>
        <v>0</v>
      </c>
      <c r="AF42">
        <f t="shared" si="7"/>
        <v>0</v>
      </c>
      <c r="AI42">
        <v>2</v>
      </c>
      <c r="AJ42">
        <v>2</v>
      </c>
      <c r="AK42">
        <v>4</v>
      </c>
      <c r="AL42">
        <v>4</v>
      </c>
      <c r="AM42">
        <v>2</v>
      </c>
      <c r="AN42">
        <f t="shared" si="8"/>
        <v>128</v>
      </c>
      <c r="AO42" cm="1">
        <f t="array" ref="AO42">PRODUCT(_xlfn.XLOOKUP(AI42:AM42,$B$3:$B$6,$C$3:$C$6))</f>
        <v>0</v>
      </c>
      <c r="AP42">
        <f t="shared" si="9"/>
        <v>0</v>
      </c>
    </row>
    <row r="43" spans="18:42" x14ac:dyDescent="0.2">
      <c r="R43">
        <v>4</v>
      </c>
      <c r="S43">
        <v>4</v>
      </c>
      <c r="T43">
        <v>3</v>
      </c>
      <c r="U43">
        <f t="shared" si="4"/>
        <v>48</v>
      </c>
      <c r="V43" cm="1">
        <f t="array" ref="V43">PRODUCT(_xlfn.XLOOKUP(R43:T43,$B$3:$B$6,$C$3:$C$6))</f>
        <v>0</v>
      </c>
      <c r="W43">
        <f t="shared" si="5"/>
        <v>0</v>
      </c>
      <c r="Z43">
        <v>2</v>
      </c>
      <c r="AA43">
        <v>4</v>
      </c>
      <c r="AB43">
        <v>4</v>
      </c>
      <c r="AC43">
        <v>3</v>
      </c>
      <c r="AD43">
        <f t="shared" si="6"/>
        <v>96</v>
      </c>
      <c r="AE43" cm="1">
        <f t="array" ref="AE43">PRODUCT(_xlfn.XLOOKUP(Z43:AC43,$B$3:$B$6,$C$3:$C$6))</f>
        <v>0</v>
      </c>
      <c r="AF43">
        <f t="shared" si="7"/>
        <v>0</v>
      </c>
      <c r="AI43">
        <v>2</v>
      </c>
      <c r="AJ43">
        <v>2</v>
      </c>
      <c r="AK43">
        <v>4</v>
      </c>
      <c r="AL43">
        <v>4</v>
      </c>
      <c r="AM43">
        <v>3</v>
      </c>
      <c r="AN43">
        <f t="shared" si="8"/>
        <v>192</v>
      </c>
      <c r="AO43" cm="1">
        <f t="array" ref="AO43">PRODUCT(_xlfn.XLOOKUP(AI43:AM43,$B$3:$B$6,$C$3:$C$6))</f>
        <v>0</v>
      </c>
      <c r="AP43">
        <f t="shared" si="9"/>
        <v>0</v>
      </c>
    </row>
    <row r="44" spans="18:42" x14ac:dyDescent="0.2">
      <c r="R44">
        <v>4</v>
      </c>
      <c r="S44">
        <v>4</v>
      </c>
      <c r="T44">
        <v>4</v>
      </c>
      <c r="U44">
        <f t="shared" si="4"/>
        <v>64</v>
      </c>
      <c r="V44" cm="1">
        <f t="array" ref="V44">PRODUCT(_xlfn.XLOOKUP(R44:T44,$B$3:$B$6,$C$3:$C$6))</f>
        <v>0</v>
      </c>
      <c r="W44">
        <f t="shared" si="5"/>
        <v>0</v>
      </c>
      <c r="Z44">
        <v>2</v>
      </c>
      <c r="AA44">
        <v>4</v>
      </c>
      <c r="AB44">
        <v>4</v>
      </c>
      <c r="AC44">
        <v>4</v>
      </c>
      <c r="AD44">
        <f t="shared" si="6"/>
        <v>128</v>
      </c>
      <c r="AE44" cm="1">
        <f t="array" ref="AE44">PRODUCT(_xlfn.XLOOKUP(Z44:AC44,$B$3:$B$6,$C$3:$C$6))</f>
        <v>0</v>
      </c>
      <c r="AF44">
        <f t="shared" si="7"/>
        <v>0</v>
      </c>
      <c r="AI44">
        <v>2</v>
      </c>
      <c r="AJ44">
        <v>2</v>
      </c>
      <c r="AK44">
        <v>4</v>
      </c>
      <c r="AL44">
        <v>4</v>
      </c>
      <c r="AM44">
        <v>4</v>
      </c>
      <c r="AN44">
        <f t="shared" si="8"/>
        <v>256</v>
      </c>
      <c r="AO44" cm="1">
        <f t="array" ref="AO44">PRODUCT(_xlfn.XLOOKUP(AI44:AM44,$B$3:$B$6,$C$3:$C$6))</f>
        <v>0</v>
      </c>
      <c r="AP44">
        <f t="shared" si="9"/>
        <v>0</v>
      </c>
    </row>
    <row r="45" spans="18:42" x14ac:dyDescent="0.2">
      <c r="R45">
        <v>4</v>
      </c>
      <c r="S45">
        <v>4</v>
      </c>
      <c r="T45">
        <v>5</v>
      </c>
      <c r="U45">
        <f t="shared" si="4"/>
        <v>80</v>
      </c>
      <c r="V45" cm="1">
        <f t="array" ref="V45">PRODUCT(_xlfn.XLOOKUP(R45:T45,$B$3:$B$6,$C$3:$C$6))</f>
        <v>0</v>
      </c>
      <c r="W45">
        <f t="shared" si="5"/>
        <v>0</v>
      </c>
      <c r="Z45">
        <v>2</v>
      </c>
      <c r="AA45">
        <v>4</v>
      </c>
      <c r="AB45">
        <v>4</v>
      </c>
      <c r="AC45">
        <v>5</v>
      </c>
      <c r="AD45">
        <f t="shared" si="6"/>
        <v>160</v>
      </c>
      <c r="AE45" cm="1">
        <f t="array" ref="AE45">PRODUCT(_xlfn.XLOOKUP(Z45:AC45,$B$3:$B$6,$C$3:$C$6))</f>
        <v>0</v>
      </c>
      <c r="AF45">
        <f t="shared" si="7"/>
        <v>0</v>
      </c>
      <c r="AI45">
        <v>2</v>
      </c>
      <c r="AJ45">
        <v>2</v>
      </c>
      <c r="AK45">
        <v>4</v>
      </c>
      <c r="AL45">
        <v>4</v>
      </c>
      <c r="AM45">
        <v>5</v>
      </c>
      <c r="AN45">
        <f t="shared" si="8"/>
        <v>320</v>
      </c>
      <c r="AO45" cm="1">
        <f t="array" ref="AO45">PRODUCT(_xlfn.XLOOKUP(AI45:AM45,$B$3:$B$6,$C$3:$C$6))</f>
        <v>0</v>
      </c>
      <c r="AP45">
        <f t="shared" si="9"/>
        <v>0</v>
      </c>
    </row>
    <row r="46" spans="18:42" x14ac:dyDescent="0.2">
      <c r="R46">
        <v>4</v>
      </c>
      <c r="S46">
        <v>5</v>
      </c>
      <c r="T46">
        <v>2</v>
      </c>
      <c r="U46">
        <f t="shared" si="4"/>
        <v>40</v>
      </c>
      <c r="V46" cm="1">
        <f t="array" ref="V46">PRODUCT(_xlfn.XLOOKUP(R46:T46,$B$3:$B$6,$C$3:$C$6))</f>
        <v>0</v>
      </c>
      <c r="W46">
        <f t="shared" si="5"/>
        <v>0</v>
      </c>
      <c r="Z46">
        <v>2</v>
      </c>
      <c r="AA46">
        <v>4</v>
      </c>
      <c r="AB46">
        <v>5</v>
      </c>
      <c r="AC46">
        <v>2</v>
      </c>
      <c r="AD46">
        <f t="shared" si="6"/>
        <v>80</v>
      </c>
      <c r="AE46" cm="1">
        <f t="array" ref="AE46">PRODUCT(_xlfn.XLOOKUP(Z46:AC46,$B$3:$B$6,$C$3:$C$6))</f>
        <v>0</v>
      </c>
      <c r="AF46">
        <f t="shared" si="7"/>
        <v>0</v>
      </c>
      <c r="AI46">
        <v>2</v>
      </c>
      <c r="AJ46">
        <v>2</v>
      </c>
      <c r="AK46">
        <v>4</v>
      </c>
      <c r="AL46">
        <v>5</v>
      </c>
      <c r="AM46">
        <v>2</v>
      </c>
      <c r="AN46">
        <f t="shared" si="8"/>
        <v>160</v>
      </c>
      <c r="AO46" cm="1">
        <f t="array" ref="AO46">PRODUCT(_xlfn.XLOOKUP(AI46:AM46,$B$3:$B$6,$C$3:$C$6))</f>
        <v>0</v>
      </c>
      <c r="AP46">
        <f t="shared" si="9"/>
        <v>0</v>
      </c>
    </row>
    <row r="47" spans="18:42" x14ac:dyDescent="0.2">
      <c r="R47">
        <v>4</v>
      </c>
      <c r="S47">
        <v>5</v>
      </c>
      <c r="T47">
        <v>3</v>
      </c>
      <c r="U47">
        <f t="shared" si="4"/>
        <v>60</v>
      </c>
      <c r="V47" cm="1">
        <f t="array" ref="V47">PRODUCT(_xlfn.XLOOKUP(R47:T47,$B$3:$B$6,$C$3:$C$6))</f>
        <v>0</v>
      </c>
      <c r="W47">
        <f t="shared" si="5"/>
        <v>0</v>
      </c>
      <c r="Z47">
        <v>2</v>
      </c>
      <c r="AA47">
        <v>4</v>
      </c>
      <c r="AB47">
        <v>5</v>
      </c>
      <c r="AC47">
        <v>3</v>
      </c>
      <c r="AD47">
        <f t="shared" si="6"/>
        <v>120</v>
      </c>
      <c r="AE47" cm="1">
        <f t="array" ref="AE47">PRODUCT(_xlfn.XLOOKUP(Z47:AC47,$B$3:$B$6,$C$3:$C$6))</f>
        <v>0</v>
      </c>
      <c r="AF47">
        <f t="shared" si="7"/>
        <v>0</v>
      </c>
      <c r="AI47">
        <v>2</v>
      </c>
      <c r="AJ47">
        <v>2</v>
      </c>
      <c r="AK47">
        <v>4</v>
      </c>
      <c r="AL47">
        <v>5</v>
      </c>
      <c r="AM47">
        <v>3</v>
      </c>
      <c r="AN47">
        <f t="shared" si="8"/>
        <v>240</v>
      </c>
      <c r="AO47" cm="1">
        <f t="array" ref="AO47">PRODUCT(_xlfn.XLOOKUP(AI47:AM47,$B$3:$B$6,$C$3:$C$6))</f>
        <v>0</v>
      </c>
      <c r="AP47">
        <f t="shared" si="9"/>
        <v>0</v>
      </c>
    </row>
    <row r="48" spans="18:42" x14ac:dyDescent="0.2">
      <c r="R48">
        <v>4</v>
      </c>
      <c r="S48">
        <v>5</v>
      </c>
      <c r="T48">
        <v>4</v>
      </c>
      <c r="U48">
        <f t="shared" si="4"/>
        <v>80</v>
      </c>
      <c r="V48" cm="1">
        <f t="array" ref="V48">PRODUCT(_xlfn.XLOOKUP(R48:T48,$B$3:$B$6,$C$3:$C$6))</f>
        <v>0</v>
      </c>
      <c r="W48">
        <f t="shared" si="5"/>
        <v>0</v>
      </c>
      <c r="Z48">
        <v>2</v>
      </c>
      <c r="AA48">
        <v>4</v>
      </c>
      <c r="AB48">
        <v>5</v>
      </c>
      <c r="AC48">
        <v>4</v>
      </c>
      <c r="AD48">
        <f t="shared" si="6"/>
        <v>160</v>
      </c>
      <c r="AE48" cm="1">
        <f t="array" ref="AE48">PRODUCT(_xlfn.XLOOKUP(Z48:AC48,$B$3:$B$6,$C$3:$C$6))</f>
        <v>0</v>
      </c>
      <c r="AF48">
        <f t="shared" si="7"/>
        <v>0</v>
      </c>
      <c r="AI48">
        <v>2</v>
      </c>
      <c r="AJ48">
        <v>2</v>
      </c>
      <c r="AK48">
        <v>4</v>
      </c>
      <c r="AL48">
        <v>5</v>
      </c>
      <c r="AM48">
        <v>4</v>
      </c>
      <c r="AN48">
        <f t="shared" si="8"/>
        <v>320</v>
      </c>
      <c r="AO48" cm="1">
        <f t="array" ref="AO48">PRODUCT(_xlfn.XLOOKUP(AI48:AM48,$B$3:$B$6,$C$3:$C$6))</f>
        <v>0</v>
      </c>
      <c r="AP48">
        <f t="shared" si="9"/>
        <v>0</v>
      </c>
    </row>
    <row r="49" spans="18:42" x14ac:dyDescent="0.2">
      <c r="R49">
        <v>4</v>
      </c>
      <c r="S49">
        <v>5</v>
      </c>
      <c r="T49">
        <v>5</v>
      </c>
      <c r="U49">
        <f t="shared" si="4"/>
        <v>100</v>
      </c>
      <c r="V49" cm="1">
        <f t="array" ref="V49">PRODUCT(_xlfn.XLOOKUP(R49:T49,$B$3:$B$6,$C$3:$C$6))</f>
        <v>0</v>
      </c>
      <c r="W49">
        <f t="shared" si="5"/>
        <v>0</v>
      </c>
      <c r="Z49">
        <v>2</v>
      </c>
      <c r="AA49">
        <v>4</v>
      </c>
      <c r="AB49">
        <v>5</v>
      </c>
      <c r="AC49">
        <v>5</v>
      </c>
      <c r="AD49">
        <f t="shared" si="6"/>
        <v>200</v>
      </c>
      <c r="AE49" cm="1">
        <f t="array" ref="AE49">PRODUCT(_xlfn.XLOOKUP(Z49:AC49,$B$3:$B$6,$C$3:$C$6))</f>
        <v>0</v>
      </c>
      <c r="AF49">
        <f t="shared" si="7"/>
        <v>0</v>
      </c>
      <c r="AI49">
        <v>2</v>
      </c>
      <c r="AJ49">
        <v>2</v>
      </c>
      <c r="AK49">
        <v>4</v>
      </c>
      <c r="AL49">
        <v>5</v>
      </c>
      <c r="AM49">
        <v>5</v>
      </c>
      <c r="AN49">
        <f t="shared" si="8"/>
        <v>400</v>
      </c>
      <c r="AO49" cm="1">
        <f t="array" ref="AO49">PRODUCT(_xlfn.XLOOKUP(AI49:AM49,$B$3:$B$6,$C$3:$C$6))</f>
        <v>0</v>
      </c>
      <c r="AP49">
        <f t="shared" si="9"/>
        <v>0</v>
      </c>
    </row>
    <row r="50" spans="18:42" x14ac:dyDescent="0.2">
      <c r="R50">
        <v>5</v>
      </c>
      <c r="S50">
        <v>2</v>
      </c>
      <c r="T50">
        <v>2</v>
      </c>
      <c r="U50">
        <f t="shared" si="4"/>
        <v>20</v>
      </c>
      <c r="V50" cm="1">
        <f t="array" ref="V50">PRODUCT(_xlfn.XLOOKUP(R50:T50,$B$3:$B$6,$C$3:$C$6))</f>
        <v>6.4799999999999996E-2</v>
      </c>
      <c r="W50">
        <f t="shared" si="5"/>
        <v>1.2959999999999998</v>
      </c>
      <c r="Z50">
        <v>2</v>
      </c>
      <c r="AA50">
        <v>5</v>
      </c>
      <c r="AB50">
        <v>2</v>
      </c>
      <c r="AC50">
        <v>2</v>
      </c>
      <c r="AD50">
        <f t="shared" si="6"/>
        <v>40</v>
      </c>
      <c r="AE50" cm="1">
        <f t="array" ref="AE50">PRODUCT(_xlfn.XLOOKUP(Z50:AC50,$B$3:$B$6,$C$3:$C$6))</f>
        <v>3.8879999999999998E-2</v>
      </c>
      <c r="AF50">
        <f t="shared" si="7"/>
        <v>1.5551999999999999</v>
      </c>
      <c r="AI50">
        <v>2</v>
      </c>
      <c r="AJ50">
        <v>2</v>
      </c>
      <c r="AK50">
        <v>5</v>
      </c>
      <c r="AL50">
        <v>2</v>
      </c>
      <c r="AM50">
        <v>2</v>
      </c>
      <c r="AN50">
        <f t="shared" si="8"/>
        <v>80</v>
      </c>
      <c r="AO50" cm="1">
        <f t="array" ref="AO50">PRODUCT(_xlfn.XLOOKUP(AI50:AM50,$B$3:$B$6,$C$3:$C$6))</f>
        <v>2.3327999999999998E-2</v>
      </c>
      <c r="AP50">
        <f t="shared" si="9"/>
        <v>1.8662399999999999</v>
      </c>
    </row>
    <row r="51" spans="18:42" x14ac:dyDescent="0.2">
      <c r="R51">
        <v>5</v>
      </c>
      <c r="S51">
        <v>2</v>
      </c>
      <c r="T51">
        <v>3</v>
      </c>
      <c r="U51">
        <f t="shared" si="4"/>
        <v>30</v>
      </c>
      <c r="V51" cm="1">
        <f t="array" ref="V51">PRODUCT(_xlfn.XLOOKUP(R51:T51,$B$3:$B$6,$C$3:$C$6))</f>
        <v>2.376E-2</v>
      </c>
      <c r="W51">
        <f t="shared" si="5"/>
        <v>0.71279999999999999</v>
      </c>
      <c r="Z51">
        <v>2</v>
      </c>
      <c r="AA51">
        <v>5</v>
      </c>
      <c r="AB51">
        <v>2</v>
      </c>
      <c r="AC51">
        <v>3</v>
      </c>
      <c r="AD51">
        <f t="shared" si="6"/>
        <v>60</v>
      </c>
      <c r="AE51" cm="1">
        <f t="array" ref="AE51">PRODUCT(_xlfn.XLOOKUP(Z51:AC51,$B$3:$B$6,$C$3:$C$6))</f>
        <v>1.4256E-2</v>
      </c>
      <c r="AF51">
        <f t="shared" si="7"/>
        <v>0.85536000000000001</v>
      </c>
      <c r="AI51">
        <v>2</v>
      </c>
      <c r="AJ51">
        <v>2</v>
      </c>
      <c r="AK51">
        <v>5</v>
      </c>
      <c r="AL51">
        <v>2</v>
      </c>
      <c r="AM51">
        <v>3</v>
      </c>
      <c r="AN51">
        <f t="shared" si="8"/>
        <v>120</v>
      </c>
      <c r="AO51" cm="1">
        <f t="array" ref="AO51">PRODUCT(_xlfn.XLOOKUP(AI51:AM51,$B$3:$B$6,$C$3:$C$6))</f>
        <v>8.5535999999999997E-3</v>
      </c>
      <c r="AP51">
        <f t="shared" si="9"/>
        <v>1.026432</v>
      </c>
    </row>
    <row r="52" spans="18:42" x14ac:dyDescent="0.2">
      <c r="R52">
        <v>5</v>
      </c>
      <c r="S52">
        <v>2</v>
      </c>
      <c r="T52">
        <v>4</v>
      </c>
      <c r="U52">
        <f t="shared" si="4"/>
        <v>40</v>
      </c>
      <c r="V52" cm="1">
        <f t="array" ref="V52">PRODUCT(_xlfn.XLOOKUP(R52:T52,$B$3:$B$6,$C$3:$C$6))</f>
        <v>0</v>
      </c>
      <c r="W52">
        <f t="shared" si="5"/>
        <v>0</v>
      </c>
      <c r="Z52">
        <v>2</v>
      </c>
      <c r="AA52">
        <v>5</v>
      </c>
      <c r="AB52">
        <v>2</v>
      </c>
      <c r="AC52">
        <v>4</v>
      </c>
      <c r="AD52">
        <f t="shared" si="6"/>
        <v>80</v>
      </c>
      <c r="AE52" cm="1">
        <f t="array" ref="AE52">PRODUCT(_xlfn.XLOOKUP(Z52:AC52,$B$3:$B$6,$C$3:$C$6))</f>
        <v>0</v>
      </c>
      <c r="AF52">
        <f t="shared" si="7"/>
        <v>0</v>
      </c>
      <c r="AI52">
        <v>2</v>
      </c>
      <c r="AJ52">
        <v>2</v>
      </c>
      <c r="AK52">
        <v>5</v>
      </c>
      <c r="AL52">
        <v>2</v>
      </c>
      <c r="AM52">
        <v>4</v>
      </c>
      <c r="AN52">
        <f t="shared" si="8"/>
        <v>160</v>
      </c>
      <c r="AO52" cm="1">
        <f t="array" ref="AO52">PRODUCT(_xlfn.XLOOKUP(AI52:AM52,$B$3:$B$6,$C$3:$C$6))</f>
        <v>0</v>
      </c>
      <c r="AP52">
        <f t="shared" si="9"/>
        <v>0</v>
      </c>
    </row>
    <row r="53" spans="18:42" x14ac:dyDescent="0.2">
      <c r="R53">
        <v>5</v>
      </c>
      <c r="S53">
        <v>2</v>
      </c>
      <c r="T53">
        <v>5</v>
      </c>
      <c r="U53">
        <f t="shared" si="4"/>
        <v>50</v>
      </c>
      <c r="V53" cm="1">
        <f t="array" ref="V53">PRODUCT(_xlfn.XLOOKUP(R53:T53,$B$3:$B$6,$C$3:$C$6))</f>
        <v>1.9439999999999999E-2</v>
      </c>
      <c r="W53">
        <f t="shared" si="5"/>
        <v>0.97199999999999998</v>
      </c>
      <c r="Z53">
        <v>2</v>
      </c>
      <c r="AA53">
        <v>5</v>
      </c>
      <c r="AB53">
        <v>2</v>
      </c>
      <c r="AC53">
        <v>5</v>
      </c>
      <c r="AD53">
        <f t="shared" si="6"/>
        <v>100</v>
      </c>
      <c r="AE53" cm="1">
        <f t="array" ref="AE53">PRODUCT(_xlfn.XLOOKUP(Z53:AC53,$B$3:$B$6,$C$3:$C$6))</f>
        <v>1.1663999999999999E-2</v>
      </c>
      <c r="AF53">
        <f t="shared" si="7"/>
        <v>1.1663999999999999</v>
      </c>
      <c r="AI53">
        <v>2</v>
      </c>
      <c r="AJ53">
        <v>2</v>
      </c>
      <c r="AK53">
        <v>5</v>
      </c>
      <c r="AL53">
        <v>2</v>
      </c>
      <c r="AM53">
        <v>5</v>
      </c>
      <c r="AN53">
        <f t="shared" si="8"/>
        <v>200</v>
      </c>
      <c r="AO53" cm="1">
        <f t="array" ref="AO53">PRODUCT(_xlfn.XLOOKUP(AI53:AM53,$B$3:$B$6,$C$3:$C$6))</f>
        <v>6.9983999999999992E-3</v>
      </c>
      <c r="AP53">
        <f t="shared" si="9"/>
        <v>1.3996799999999998</v>
      </c>
    </row>
    <row r="54" spans="18:42" x14ac:dyDescent="0.2">
      <c r="R54">
        <v>5</v>
      </c>
      <c r="S54">
        <v>3</v>
      </c>
      <c r="T54">
        <v>2</v>
      </c>
      <c r="U54">
        <f t="shared" si="4"/>
        <v>30</v>
      </c>
      <c r="V54" cm="1">
        <f t="array" ref="V54">PRODUCT(_xlfn.XLOOKUP(R54:T54,$B$3:$B$6,$C$3:$C$6))</f>
        <v>2.3759999999999996E-2</v>
      </c>
      <c r="W54">
        <f t="shared" si="5"/>
        <v>0.71279999999999988</v>
      </c>
      <c r="Z54">
        <v>2</v>
      </c>
      <c r="AA54">
        <v>5</v>
      </c>
      <c r="AB54">
        <v>3</v>
      </c>
      <c r="AC54">
        <v>2</v>
      </c>
      <c r="AD54">
        <f t="shared" si="6"/>
        <v>60</v>
      </c>
      <c r="AE54" cm="1">
        <f t="array" ref="AE54">PRODUCT(_xlfn.XLOOKUP(Z54:AC54,$B$3:$B$6,$C$3:$C$6))</f>
        <v>1.4256E-2</v>
      </c>
      <c r="AF54">
        <f t="shared" si="7"/>
        <v>0.85536000000000001</v>
      </c>
      <c r="AI54">
        <v>2</v>
      </c>
      <c r="AJ54">
        <v>2</v>
      </c>
      <c r="AK54">
        <v>5</v>
      </c>
      <c r="AL54">
        <v>3</v>
      </c>
      <c r="AM54">
        <v>2</v>
      </c>
      <c r="AN54">
        <f t="shared" si="8"/>
        <v>120</v>
      </c>
      <c r="AO54" cm="1">
        <f t="array" ref="AO54">PRODUCT(_xlfn.XLOOKUP(AI54:AM54,$B$3:$B$6,$C$3:$C$6))</f>
        <v>8.5535999999999997E-3</v>
      </c>
      <c r="AP54">
        <f t="shared" si="9"/>
        <v>1.026432</v>
      </c>
    </row>
    <row r="55" spans="18:42" x14ac:dyDescent="0.2">
      <c r="R55">
        <v>5</v>
      </c>
      <c r="S55">
        <v>3</v>
      </c>
      <c r="T55">
        <v>3</v>
      </c>
      <c r="U55">
        <f t="shared" si="4"/>
        <v>45</v>
      </c>
      <c r="V55" cm="1">
        <f t="array" ref="V55">PRODUCT(_xlfn.XLOOKUP(R55:T55,$B$3:$B$6,$C$3:$C$6))</f>
        <v>8.7119999999999993E-3</v>
      </c>
      <c r="W55">
        <f t="shared" si="5"/>
        <v>0.39203999999999994</v>
      </c>
      <c r="Z55">
        <v>2</v>
      </c>
      <c r="AA55">
        <v>5</v>
      </c>
      <c r="AB55">
        <v>3</v>
      </c>
      <c r="AC55">
        <v>3</v>
      </c>
      <c r="AD55">
        <f t="shared" si="6"/>
        <v>90</v>
      </c>
      <c r="AE55" cm="1">
        <f t="array" ref="AE55">PRODUCT(_xlfn.XLOOKUP(Z55:AC55,$B$3:$B$6,$C$3:$C$6))</f>
        <v>5.2272000000000004E-3</v>
      </c>
      <c r="AF55">
        <f t="shared" si="7"/>
        <v>0.47044800000000003</v>
      </c>
      <c r="AI55">
        <v>2</v>
      </c>
      <c r="AJ55">
        <v>2</v>
      </c>
      <c r="AK55">
        <v>5</v>
      </c>
      <c r="AL55">
        <v>3</v>
      </c>
      <c r="AM55">
        <v>3</v>
      </c>
      <c r="AN55">
        <f t="shared" si="8"/>
        <v>180</v>
      </c>
      <c r="AO55" cm="1">
        <f t="array" ref="AO55">PRODUCT(_xlfn.XLOOKUP(AI55:AM55,$B$3:$B$6,$C$3:$C$6))</f>
        <v>3.1363199999999997E-3</v>
      </c>
      <c r="AP55">
        <f t="shared" si="9"/>
        <v>0.56453759999999997</v>
      </c>
    </row>
    <row r="56" spans="18:42" x14ac:dyDescent="0.2">
      <c r="R56">
        <v>5</v>
      </c>
      <c r="S56">
        <v>3</v>
      </c>
      <c r="T56">
        <v>4</v>
      </c>
      <c r="U56">
        <f t="shared" si="4"/>
        <v>60</v>
      </c>
      <c r="V56" cm="1">
        <f t="array" ref="V56">PRODUCT(_xlfn.XLOOKUP(R56:T56,$B$3:$B$6,$C$3:$C$6))</f>
        <v>0</v>
      </c>
      <c r="W56">
        <f t="shared" si="5"/>
        <v>0</v>
      </c>
      <c r="Z56">
        <v>2</v>
      </c>
      <c r="AA56">
        <v>5</v>
      </c>
      <c r="AB56">
        <v>3</v>
      </c>
      <c r="AC56">
        <v>4</v>
      </c>
      <c r="AD56">
        <f t="shared" si="6"/>
        <v>120</v>
      </c>
      <c r="AE56" cm="1">
        <f t="array" ref="AE56">PRODUCT(_xlfn.XLOOKUP(Z56:AC56,$B$3:$B$6,$C$3:$C$6))</f>
        <v>0</v>
      </c>
      <c r="AF56">
        <f t="shared" si="7"/>
        <v>0</v>
      </c>
      <c r="AI56">
        <v>2</v>
      </c>
      <c r="AJ56">
        <v>2</v>
      </c>
      <c r="AK56">
        <v>5</v>
      </c>
      <c r="AL56">
        <v>3</v>
      </c>
      <c r="AM56">
        <v>4</v>
      </c>
      <c r="AN56">
        <f t="shared" si="8"/>
        <v>240</v>
      </c>
      <c r="AO56" cm="1">
        <f t="array" ref="AO56">PRODUCT(_xlfn.XLOOKUP(AI56:AM56,$B$3:$B$6,$C$3:$C$6))</f>
        <v>0</v>
      </c>
      <c r="AP56">
        <f t="shared" si="9"/>
        <v>0</v>
      </c>
    </row>
    <row r="57" spans="18:42" x14ac:dyDescent="0.2">
      <c r="R57">
        <v>5</v>
      </c>
      <c r="S57">
        <v>3</v>
      </c>
      <c r="T57">
        <v>5</v>
      </c>
      <c r="U57">
        <f t="shared" si="4"/>
        <v>75</v>
      </c>
      <c r="V57" cm="1">
        <f t="array" ref="V57">PRODUCT(_xlfn.XLOOKUP(R57:T57,$B$3:$B$6,$C$3:$C$6))</f>
        <v>7.1279999999999989E-3</v>
      </c>
      <c r="W57">
        <f t="shared" si="5"/>
        <v>0.53459999999999996</v>
      </c>
      <c r="Z57">
        <v>2</v>
      </c>
      <c r="AA57">
        <v>5</v>
      </c>
      <c r="AB57">
        <v>3</v>
      </c>
      <c r="AC57">
        <v>5</v>
      </c>
      <c r="AD57">
        <f t="shared" si="6"/>
        <v>150</v>
      </c>
      <c r="AE57" cm="1">
        <f t="array" ref="AE57">PRODUCT(_xlfn.XLOOKUP(Z57:AC57,$B$3:$B$6,$C$3:$C$6))</f>
        <v>4.2767999999999999E-3</v>
      </c>
      <c r="AF57">
        <f t="shared" si="7"/>
        <v>0.64151999999999998</v>
      </c>
      <c r="AI57">
        <v>2</v>
      </c>
      <c r="AJ57">
        <v>2</v>
      </c>
      <c r="AK57">
        <v>5</v>
      </c>
      <c r="AL57">
        <v>3</v>
      </c>
      <c r="AM57">
        <v>5</v>
      </c>
      <c r="AN57">
        <f t="shared" si="8"/>
        <v>300</v>
      </c>
      <c r="AO57" cm="1">
        <f t="array" ref="AO57">PRODUCT(_xlfn.XLOOKUP(AI57:AM57,$B$3:$B$6,$C$3:$C$6))</f>
        <v>2.5660799999999997E-3</v>
      </c>
      <c r="AP57">
        <f t="shared" si="9"/>
        <v>0.76982399999999995</v>
      </c>
    </row>
    <row r="58" spans="18:42" x14ac:dyDescent="0.2">
      <c r="R58">
        <v>5</v>
      </c>
      <c r="S58">
        <v>4</v>
      </c>
      <c r="T58">
        <v>2</v>
      </c>
      <c r="U58">
        <f t="shared" si="4"/>
        <v>40</v>
      </c>
      <c r="V58" cm="1">
        <f t="array" ref="V58">PRODUCT(_xlfn.XLOOKUP(R58:T58,$B$3:$B$6,$C$3:$C$6))</f>
        <v>0</v>
      </c>
      <c r="W58">
        <f t="shared" si="5"/>
        <v>0</v>
      </c>
      <c r="Z58">
        <v>2</v>
      </c>
      <c r="AA58">
        <v>5</v>
      </c>
      <c r="AB58">
        <v>4</v>
      </c>
      <c r="AC58">
        <v>2</v>
      </c>
      <c r="AD58">
        <f t="shared" si="6"/>
        <v>80</v>
      </c>
      <c r="AE58" cm="1">
        <f t="array" ref="AE58">PRODUCT(_xlfn.XLOOKUP(Z58:AC58,$B$3:$B$6,$C$3:$C$6))</f>
        <v>0</v>
      </c>
      <c r="AF58">
        <f t="shared" si="7"/>
        <v>0</v>
      </c>
      <c r="AI58">
        <v>2</v>
      </c>
      <c r="AJ58">
        <v>2</v>
      </c>
      <c r="AK58">
        <v>5</v>
      </c>
      <c r="AL58">
        <v>4</v>
      </c>
      <c r="AM58">
        <v>2</v>
      </c>
      <c r="AN58">
        <f t="shared" si="8"/>
        <v>160</v>
      </c>
      <c r="AO58" cm="1">
        <f t="array" ref="AO58">PRODUCT(_xlfn.XLOOKUP(AI58:AM58,$B$3:$B$6,$C$3:$C$6))</f>
        <v>0</v>
      </c>
      <c r="AP58">
        <f t="shared" si="9"/>
        <v>0</v>
      </c>
    </row>
    <row r="59" spans="18:42" x14ac:dyDescent="0.2">
      <c r="R59">
        <v>5</v>
      </c>
      <c r="S59">
        <v>4</v>
      </c>
      <c r="T59">
        <v>3</v>
      </c>
      <c r="U59">
        <f t="shared" si="4"/>
        <v>60</v>
      </c>
      <c r="V59" cm="1">
        <f t="array" ref="V59">PRODUCT(_xlfn.XLOOKUP(R59:T59,$B$3:$B$6,$C$3:$C$6))</f>
        <v>0</v>
      </c>
      <c r="W59">
        <f t="shared" si="5"/>
        <v>0</v>
      </c>
      <c r="Z59">
        <v>2</v>
      </c>
      <c r="AA59">
        <v>5</v>
      </c>
      <c r="AB59">
        <v>4</v>
      </c>
      <c r="AC59">
        <v>3</v>
      </c>
      <c r="AD59">
        <f t="shared" si="6"/>
        <v>120</v>
      </c>
      <c r="AE59" cm="1">
        <f t="array" ref="AE59">PRODUCT(_xlfn.XLOOKUP(Z59:AC59,$B$3:$B$6,$C$3:$C$6))</f>
        <v>0</v>
      </c>
      <c r="AF59">
        <f t="shared" si="7"/>
        <v>0</v>
      </c>
      <c r="AI59">
        <v>2</v>
      </c>
      <c r="AJ59">
        <v>2</v>
      </c>
      <c r="AK59">
        <v>5</v>
      </c>
      <c r="AL59">
        <v>4</v>
      </c>
      <c r="AM59">
        <v>3</v>
      </c>
      <c r="AN59">
        <f t="shared" si="8"/>
        <v>240</v>
      </c>
      <c r="AO59" cm="1">
        <f t="array" ref="AO59">PRODUCT(_xlfn.XLOOKUP(AI59:AM59,$B$3:$B$6,$C$3:$C$6))</f>
        <v>0</v>
      </c>
      <c r="AP59">
        <f t="shared" si="9"/>
        <v>0</v>
      </c>
    </row>
    <row r="60" spans="18:42" x14ac:dyDescent="0.2">
      <c r="R60">
        <v>5</v>
      </c>
      <c r="S60">
        <v>4</v>
      </c>
      <c r="T60">
        <v>4</v>
      </c>
      <c r="U60">
        <f t="shared" si="4"/>
        <v>80</v>
      </c>
      <c r="V60" cm="1">
        <f t="array" ref="V60">PRODUCT(_xlfn.XLOOKUP(R60:T60,$B$3:$B$6,$C$3:$C$6))</f>
        <v>0</v>
      </c>
      <c r="W60">
        <f t="shared" si="5"/>
        <v>0</v>
      </c>
      <c r="Z60">
        <v>2</v>
      </c>
      <c r="AA60">
        <v>5</v>
      </c>
      <c r="AB60">
        <v>4</v>
      </c>
      <c r="AC60">
        <v>4</v>
      </c>
      <c r="AD60">
        <f t="shared" si="6"/>
        <v>160</v>
      </c>
      <c r="AE60" cm="1">
        <f t="array" ref="AE60">PRODUCT(_xlfn.XLOOKUP(Z60:AC60,$B$3:$B$6,$C$3:$C$6))</f>
        <v>0</v>
      </c>
      <c r="AF60">
        <f t="shared" si="7"/>
        <v>0</v>
      </c>
      <c r="AI60">
        <v>2</v>
      </c>
      <c r="AJ60">
        <v>2</v>
      </c>
      <c r="AK60">
        <v>5</v>
      </c>
      <c r="AL60">
        <v>4</v>
      </c>
      <c r="AM60">
        <v>4</v>
      </c>
      <c r="AN60">
        <f t="shared" si="8"/>
        <v>320</v>
      </c>
      <c r="AO60" cm="1">
        <f t="array" ref="AO60">PRODUCT(_xlfn.XLOOKUP(AI60:AM60,$B$3:$B$6,$C$3:$C$6))</f>
        <v>0</v>
      </c>
      <c r="AP60">
        <f t="shared" si="9"/>
        <v>0</v>
      </c>
    </row>
    <row r="61" spans="18:42" x14ac:dyDescent="0.2">
      <c r="R61">
        <v>5</v>
      </c>
      <c r="S61">
        <v>4</v>
      </c>
      <c r="T61">
        <v>5</v>
      </c>
      <c r="U61">
        <f t="shared" si="4"/>
        <v>100</v>
      </c>
      <c r="V61" cm="1">
        <f t="array" ref="V61">PRODUCT(_xlfn.XLOOKUP(R61:T61,$B$3:$B$6,$C$3:$C$6))</f>
        <v>0</v>
      </c>
      <c r="W61">
        <f t="shared" si="5"/>
        <v>0</v>
      </c>
      <c r="Z61">
        <v>2</v>
      </c>
      <c r="AA61">
        <v>5</v>
      </c>
      <c r="AB61">
        <v>4</v>
      </c>
      <c r="AC61">
        <v>5</v>
      </c>
      <c r="AD61">
        <f t="shared" si="6"/>
        <v>200</v>
      </c>
      <c r="AE61" cm="1">
        <f t="array" ref="AE61">PRODUCT(_xlfn.XLOOKUP(Z61:AC61,$B$3:$B$6,$C$3:$C$6))</f>
        <v>0</v>
      </c>
      <c r="AF61">
        <f t="shared" si="7"/>
        <v>0</v>
      </c>
      <c r="AI61">
        <v>2</v>
      </c>
      <c r="AJ61">
        <v>2</v>
      </c>
      <c r="AK61">
        <v>5</v>
      </c>
      <c r="AL61">
        <v>4</v>
      </c>
      <c r="AM61">
        <v>5</v>
      </c>
      <c r="AN61">
        <f t="shared" si="8"/>
        <v>400</v>
      </c>
      <c r="AO61" cm="1">
        <f t="array" ref="AO61">PRODUCT(_xlfn.XLOOKUP(AI61:AM61,$B$3:$B$6,$C$3:$C$6))</f>
        <v>0</v>
      </c>
      <c r="AP61">
        <f t="shared" si="9"/>
        <v>0</v>
      </c>
    </row>
    <row r="62" spans="18:42" x14ac:dyDescent="0.2">
      <c r="R62">
        <v>5</v>
      </c>
      <c r="S62">
        <v>5</v>
      </c>
      <c r="T62">
        <v>2</v>
      </c>
      <c r="U62">
        <f t="shared" si="4"/>
        <v>50</v>
      </c>
      <c r="V62" cm="1">
        <f t="array" ref="V62">PRODUCT(_xlfn.XLOOKUP(R62:T62,$B$3:$B$6,$C$3:$C$6))</f>
        <v>1.9439999999999999E-2</v>
      </c>
      <c r="W62">
        <f t="shared" si="5"/>
        <v>0.97199999999999998</v>
      </c>
      <c r="Z62">
        <v>2</v>
      </c>
      <c r="AA62">
        <v>5</v>
      </c>
      <c r="AB62">
        <v>5</v>
      </c>
      <c r="AC62">
        <v>2</v>
      </c>
      <c r="AD62">
        <f t="shared" si="6"/>
        <v>100</v>
      </c>
      <c r="AE62" cm="1">
        <f t="array" ref="AE62">PRODUCT(_xlfn.XLOOKUP(Z62:AC62,$B$3:$B$6,$C$3:$C$6))</f>
        <v>1.1663999999999999E-2</v>
      </c>
      <c r="AF62">
        <f t="shared" si="7"/>
        <v>1.1663999999999999</v>
      </c>
      <c r="AI62">
        <v>2</v>
      </c>
      <c r="AJ62">
        <v>2</v>
      </c>
      <c r="AK62">
        <v>5</v>
      </c>
      <c r="AL62">
        <v>5</v>
      </c>
      <c r="AM62">
        <v>2</v>
      </c>
      <c r="AN62">
        <f t="shared" si="8"/>
        <v>200</v>
      </c>
      <c r="AO62" cm="1">
        <f t="array" ref="AO62">PRODUCT(_xlfn.XLOOKUP(AI62:AM62,$B$3:$B$6,$C$3:$C$6))</f>
        <v>6.9983999999999992E-3</v>
      </c>
      <c r="AP62">
        <f t="shared" si="9"/>
        <v>1.3996799999999998</v>
      </c>
    </row>
    <row r="63" spans="18:42" x14ac:dyDescent="0.2">
      <c r="R63">
        <v>5</v>
      </c>
      <c r="S63">
        <v>5</v>
      </c>
      <c r="T63">
        <v>3</v>
      </c>
      <c r="U63">
        <f t="shared" si="4"/>
        <v>75</v>
      </c>
      <c r="V63" cm="1">
        <f t="array" ref="V63">PRODUCT(_xlfn.XLOOKUP(R63:T63,$B$3:$B$6,$C$3:$C$6))</f>
        <v>7.1279999999999998E-3</v>
      </c>
      <c r="W63">
        <f t="shared" si="5"/>
        <v>0.53459999999999996</v>
      </c>
      <c r="Z63">
        <v>2</v>
      </c>
      <c r="AA63">
        <v>5</v>
      </c>
      <c r="AB63">
        <v>5</v>
      </c>
      <c r="AC63">
        <v>3</v>
      </c>
      <c r="AD63">
        <f t="shared" si="6"/>
        <v>150</v>
      </c>
      <c r="AE63" cm="1">
        <f t="array" ref="AE63">PRODUCT(_xlfn.XLOOKUP(Z63:AC63,$B$3:$B$6,$C$3:$C$6))</f>
        <v>4.2767999999999999E-3</v>
      </c>
      <c r="AF63">
        <f t="shared" si="7"/>
        <v>0.64151999999999998</v>
      </c>
      <c r="AI63">
        <v>2</v>
      </c>
      <c r="AJ63">
        <v>2</v>
      </c>
      <c r="AK63">
        <v>5</v>
      </c>
      <c r="AL63">
        <v>5</v>
      </c>
      <c r="AM63">
        <v>3</v>
      </c>
      <c r="AN63">
        <f t="shared" si="8"/>
        <v>300</v>
      </c>
      <c r="AO63" cm="1">
        <f t="array" ref="AO63">PRODUCT(_xlfn.XLOOKUP(AI63:AM63,$B$3:$B$6,$C$3:$C$6))</f>
        <v>2.5660799999999997E-3</v>
      </c>
      <c r="AP63">
        <f t="shared" si="9"/>
        <v>0.76982399999999995</v>
      </c>
    </row>
    <row r="64" spans="18:42" x14ac:dyDescent="0.2">
      <c r="R64">
        <v>5</v>
      </c>
      <c r="S64">
        <v>5</v>
      </c>
      <c r="T64">
        <v>4</v>
      </c>
      <c r="U64">
        <f t="shared" si="4"/>
        <v>100</v>
      </c>
      <c r="V64" cm="1">
        <f t="array" ref="V64">PRODUCT(_xlfn.XLOOKUP(R64:T64,$B$3:$B$6,$C$3:$C$6))</f>
        <v>0</v>
      </c>
      <c r="W64">
        <f t="shared" si="5"/>
        <v>0</v>
      </c>
      <c r="Z64">
        <v>2</v>
      </c>
      <c r="AA64">
        <v>5</v>
      </c>
      <c r="AB64">
        <v>5</v>
      </c>
      <c r="AC64">
        <v>4</v>
      </c>
      <c r="AD64">
        <f t="shared" si="6"/>
        <v>200</v>
      </c>
      <c r="AE64" cm="1">
        <f t="array" ref="AE64">PRODUCT(_xlfn.XLOOKUP(Z64:AC64,$B$3:$B$6,$C$3:$C$6))</f>
        <v>0</v>
      </c>
      <c r="AF64">
        <f t="shared" si="7"/>
        <v>0</v>
      </c>
      <c r="AI64">
        <v>2</v>
      </c>
      <c r="AJ64">
        <v>2</v>
      </c>
      <c r="AK64">
        <v>5</v>
      </c>
      <c r="AL64">
        <v>5</v>
      </c>
      <c r="AM64">
        <v>4</v>
      </c>
      <c r="AN64">
        <f t="shared" si="8"/>
        <v>400</v>
      </c>
      <c r="AO64" cm="1">
        <f t="array" ref="AO64">PRODUCT(_xlfn.XLOOKUP(AI64:AM64,$B$3:$B$6,$C$3:$C$6))</f>
        <v>0</v>
      </c>
      <c r="AP64">
        <f t="shared" si="9"/>
        <v>0</v>
      </c>
    </row>
    <row r="65" spans="18:42" x14ac:dyDescent="0.2">
      <c r="R65">
        <v>5</v>
      </c>
      <c r="S65">
        <v>5</v>
      </c>
      <c r="T65">
        <v>5</v>
      </c>
      <c r="U65">
        <f t="shared" si="4"/>
        <v>125</v>
      </c>
      <c r="V65" cm="1">
        <f t="array" ref="V65">PRODUCT(_xlfn.XLOOKUP(R65:T65,$B$3:$B$6,$C$3:$C$6))</f>
        <v>5.8319999999999995E-3</v>
      </c>
      <c r="W65">
        <f t="shared" si="5"/>
        <v>0.72899999999999998</v>
      </c>
      <c r="Z65">
        <v>2</v>
      </c>
      <c r="AA65">
        <v>5</v>
      </c>
      <c r="AB65">
        <v>5</v>
      </c>
      <c r="AC65">
        <v>5</v>
      </c>
      <c r="AD65">
        <f t="shared" si="6"/>
        <v>250</v>
      </c>
      <c r="AE65" cm="1">
        <f t="array" ref="AE65">PRODUCT(_xlfn.XLOOKUP(Z65:AC65,$B$3:$B$6,$C$3:$C$6))</f>
        <v>3.4991999999999996E-3</v>
      </c>
      <c r="AF65">
        <f t="shared" si="7"/>
        <v>0.87479999999999991</v>
      </c>
      <c r="AI65">
        <v>2</v>
      </c>
      <c r="AJ65">
        <v>2</v>
      </c>
      <c r="AK65">
        <v>5</v>
      </c>
      <c r="AL65">
        <v>5</v>
      </c>
      <c r="AM65">
        <v>5</v>
      </c>
      <c r="AN65">
        <f t="shared" si="8"/>
        <v>500</v>
      </c>
      <c r="AO65" cm="1">
        <f t="array" ref="AO65">PRODUCT(_xlfn.XLOOKUP(AI65:AM65,$B$3:$B$6,$C$3:$C$6))</f>
        <v>2.0995199999999997E-3</v>
      </c>
      <c r="AP65">
        <f t="shared" si="9"/>
        <v>1.0497599999999998</v>
      </c>
    </row>
    <row r="66" spans="18:42" x14ac:dyDescent="0.2">
      <c r="Z66">
        <v>3</v>
      </c>
      <c r="AA66">
        <v>2</v>
      </c>
      <c r="AB66">
        <v>2</v>
      </c>
      <c r="AC66">
        <v>2</v>
      </c>
      <c r="AD66">
        <f t="shared" si="6"/>
        <v>24</v>
      </c>
      <c r="AE66" cm="1">
        <f t="array" ref="AE66">PRODUCT(_xlfn.XLOOKUP(Z66:AC66,$B$3:$B$6,$C$3:$C$6))</f>
        <v>4.752E-2</v>
      </c>
      <c r="AF66">
        <f t="shared" si="7"/>
        <v>1.1404799999999999</v>
      </c>
      <c r="AI66">
        <v>2</v>
      </c>
      <c r="AJ66">
        <v>3</v>
      </c>
      <c r="AK66">
        <v>2</v>
      </c>
      <c r="AL66">
        <v>2</v>
      </c>
      <c r="AM66">
        <v>2</v>
      </c>
      <c r="AN66">
        <f t="shared" si="8"/>
        <v>48</v>
      </c>
      <c r="AO66" cm="1">
        <f t="array" ref="AO66">PRODUCT(_xlfn.XLOOKUP(AI66:AM66,$B$3:$B$6,$C$3:$C$6))</f>
        <v>2.8511999999999999E-2</v>
      </c>
      <c r="AP66">
        <f t="shared" si="9"/>
        <v>1.368576</v>
      </c>
    </row>
    <row r="67" spans="18:42" x14ac:dyDescent="0.2">
      <c r="Z67">
        <v>3</v>
      </c>
      <c r="AA67">
        <v>2</v>
      </c>
      <c r="AB67">
        <v>2</v>
      </c>
      <c r="AC67">
        <v>3</v>
      </c>
      <c r="AD67">
        <f t="shared" ref="AD67:AD130" si="10">PRODUCT(Z67:AC67)</f>
        <v>36</v>
      </c>
      <c r="AE67" cm="1">
        <f t="array" ref="AE67">PRODUCT(_xlfn.XLOOKUP(Z67:AC67,$B$3:$B$6,$C$3:$C$6))</f>
        <v>1.7424000000000002E-2</v>
      </c>
      <c r="AF67">
        <f t="shared" ref="AF67:AF130" si="11">AD67*AE67</f>
        <v>0.62726400000000004</v>
      </c>
      <c r="AI67">
        <v>2</v>
      </c>
      <c r="AJ67">
        <v>3</v>
      </c>
      <c r="AK67">
        <v>2</v>
      </c>
      <c r="AL67">
        <v>2</v>
      </c>
      <c r="AM67">
        <v>3</v>
      </c>
      <c r="AN67">
        <f t="shared" ref="AN67:AN130" si="12">PRODUCT(AI67:AM67)</f>
        <v>72</v>
      </c>
      <c r="AO67" cm="1">
        <f t="array" ref="AO67">PRODUCT(_xlfn.XLOOKUP(AI67:AM67,$B$3:$B$6,$C$3:$C$6))</f>
        <v>1.0454400000000001E-2</v>
      </c>
      <c r="AP67">
        <f t="shared" ref="AP67:AP130" si="13">AN67*AO67</f>
        <v>0.75271680000000007</v>
      </c>
    </row>
    <row r="68" spans="18:42" x14ac:dyDescent="0.2">
      <c r="Z68">
        <v>3</v>
      </c>
      <c r="AA68">
        <v>2</v>
      </c>
      <c r="AB68">
        <v>2</v>
      </c>
      <c r="AC68">
        <v>4</v>
      </c>
      <c r="AD68">
        <f t="shared" si="10"/>
        <v>48</v>
      </c>
      <c r="AE68" cm="1">
        <f t="array" ref="AE68">PRODUCT(_xlfn.XLOOKUP(Z68:AC68,$B$3:$B$6,$C$3:$C$6))</f>
        <v>0</v>
      </c>
      <c r="AF68">
        <f t="shared" si="11"/>
        <v>0</v>
      </c>
      <c r="AI68">
        <v>2</v>
      </c>
      <c r="AJ68">
        <v>3</v>
      </c>
      <c r="AK68">
        <v>2</v>
      </c>
      <c r="AL68">
        <v>2</v>
      </c>
      <c r="AM68">
        <v>4</v>
      </c>
      <c r="AN68">
        <f t="shared" si="12"/>
        <v>96</v>
      </c>
      <c r="AO68" cm="1">
        <f t="array" ref="AO68">PRODUCT(_xlfn.XLOOKUP(AI68:AM68,$B$3:$B$6,$C$3:$C$6))</f>
        <v>0</v>
      </c>
      <c r="AP68">
        <f t="shared" si="13"/>
        <v>0</v>
      </c>
    </row>
    <row r="69" spans="18:42" x14ac:dyDescent="0.2">
      <c r="Z69">
        <v>3</v>
      </c>
      <c r="AA69">
        <v>2</v>
      </c>
      <c r="AB69">
        <v>2</v>
      </c>
      <c r="AC69">
        <v>5</v>
      </c>
      <c r="AD69">
        <f t="shared" si="10"/>
        <v>60</v>
      </c>
      <c r="AE69" cm="1">
        <f t="array" ref="AE69">PRODUCT(_xlfn.XLOOKUP(Z69:AC69,$B$3:$B$6,$C$3:$C$6))</f>
        <v>1.4256000000000001E-2</v>
      </c>
      <c r="AF69">
        <f t="shared" si="11"/>
        <v>0.85536000000000012</v>
      </c>
      <c r="AI69">
        <v>2</v>
      </c>
      <c r="AJ69">
        <v>3</v>
      </c>
      <c r="AK69">
        <v>2</v>
      </c>
      <c r="AL69">
        <v>2</v>
      </c>
      <c r="AM69">
        <v>5</v>
      </c>
      <c r="AN69">
        <f t="shared" si="12"/>
        <v>120</v>
      </c>
      <c r="AO69" cm="1">
        <f t="array" ref="AO69">PRODUCT(_xlfn.XLOOKUP(AI69:AM69,$B$3:$B$6,$C$3:$C$6))</f>
        <v>8.5535999999999997E-3</v>
      </c>
      <c r="AP69">
        <f t="shared" si="13"/>
        <v>1.026432</v>
      </c>
    </row>
    <row r="70" spans="18:42" x14ac:dyDescent="0.2">
      <c r="Z70">
        <v>3</v>
      </c>
      <c r="AA70">
        <v>2</v>
      </c>
      <c r="AB70">
        <v>3</v>
      </c>
      <c r="AC70">
        <v>2</v>
      </c>
      <c r="AD70">
        <f t="shared" si="10"/>
        <v>36</v>
      </c>
      <c r="AE70" cm="1">
        <f t="array" ref="AE70">PRODUCT(_xlfn.XLOOKUP(Z70:AC70,$B$3:$B$6,$C$3:$C$6))</f>
        <v>1.7423999999999999E-2</v>
      </c>
      <c r="AF70">
        <f t="shared" si="11"/>
        <v>0.62726399999999993</v>
      </c>
      <c r="AI70">
        <v>2</v>
      </c>
      <c r="AJ70">
        <v>3</v>
      </c>
      <c r="AK70">
        <v>2</v>
      </c>
      <c r="AL70">
        <v>3</v>
      </c>
      <c r="AM70">
        <v>2</v>
      </c>
      <c r="AN70">
        <f t="shared" si="12"/>
        <v>72</v>
      </c>
      <c r="AO70" cm="1">
        <f t="array" ref="AO70">PRODUCT(_xlfn.XLOOKUP(AI70:AM70,$B$3:$B$6,$C$3:$C$6))</f>
        <v>1.0454400000000001E-2</v>
      </c>
      <c r="AP70">
        <f t="shared" si="13"/>
        <v>0.75271680000000007</v>
      </c>
    </row>
    <row r="71" spans="18:42" x14ac:dyDescent="0.2">
      <c r="Z71">
        <v>3</v>
      </c>
      <c r="AA71">
        <v>2</v>
      </c>
      <c r="AB71">
        <v>3</v>
      </c>
      <c r="AC71">
        <v>3</v>
      </c>
      <c r="AD71">
        <f t="shared" si="10"/>
        <v>54</v>
      </c>
      <c r="AE71" cm="1">
        <f t="array" ref="AE71">PRODUCT(_xlfn.XLOOKUP(Z71:AC71,$B$3:$B$6,$C$3:$C$6))</f>
        <v>6.3888E-3</v>
      </c>
      <c r="AF71">
        <f t="shared" si="11"/>
        <v>0.3449952</v>
      </c>
      <c r="AI71">
        <v>2</v>
      </c>
      <c r="AJ71">
        <v>3</v>
      </c>
      <c r="AK71">
        <v>2</v>
      </c>
      <c r="AL71">
        <v>3</v>
      </c>
      <c r="AM71">
        <v>3</v>
      </c>
      <c r="AN71">
        <f t="shared" si="12"/>
        <v>108</v>
      </c>
      <c r="AO71" cm="1">
        <f t="array" ref="AO71">PRODUCT(_xlfn.XLOOKUP(AI71:AM71,$B$3:$B$6,$C$3:$C$6))</f>
        <v>3.8332800000000005E-3</v>
      </c>
      <c r="AP71">
        <f t="shared" si="13"/>
        <v>0.41399424000000007</v>
      </c>
    </row>
    <row r="72" spans="18:42" x14ac:dyDescent="0.2">
      <c r="Z72">
        <v>3</v>
      </c>
      <c r="AA72">
        <v>2</v>
      </c>
      <c r="AB72">
        <v>3</v>
      </c>
      <c r="AC72">
        <v>4</v>
      </c>
      <c r="AD72">
        <f t="shared" si="10"/>
        <v>72</v>
      </c>
      <c r="AE72" cm="1">
        <f t="array" ref="AE72">PRODUCT(_xlfn.XLOOKUP(Z72:AC72,$B$3:$B$6,$C$3:$C$6))</f>
        <v>0</v>
      </c>
      <c r="AF72">
        <f t="shared" si="11"/>
        <v>0</v>
      </c>
      <c r="AI72">
        <v>2</v>
      </c>
      <c r="AJ72">
        <v>3</v>
      </c>
      <c r="AK72">
        <v>2</v>
      </c>
      <c r="AL72">
        <v>3</v>
      </c>
      <c r="AM72">
        <v>4</v>
      </c>
      <c r="AN72">
        <f t="shared" si="12"/>
        <v>144</v>
      </c>
      <c r="AO72" cm="1">
        <f t="array" ref="AO72">PRODUCT(_xlfn.XLOOKUP(AI72:AM72,$B$3:$B$6,$C$3:$C$6))</f>
        <v>0</v>
      </c>
      <c r="AP72">
        <f t="shared" si="13"/>
        <v>0</v>
      </c>
    </row>
    <row r="73" spans="18:42" x14ac:dyDescent="0.2">
      <c r="Z73">
        <v>3</v>
      </c>
      <c r="AA73">
        <v>2</v>
      </c>
      <c r="AB73">
        <v>3</v>
      </c>
      <c r="AC73">
        <v>5</v>
      </c>
      <c r="AD73">
        <f t="shared" si="10"/>
        <v>90</v>
      </c>
      <c r="AE73" cm="1">
        <f t="array" ref="AE73">PRODUCT(_xlfn.XLOOKUP(Z73:AC73,$B$3:$B$6,$C$3:$C$6))</f>
        <v>5.2271999999999996E-3</v>
      </c>
      <c r="AF73">
        <f t="shared" si="11"/>
        <v>0.47044799999999998</v>
      </c>
      <c r="AI73">
        <v>2</v>
      </c>
      <c r="AJ73">
        <v>3</v>
      </c>
      <c r="AK73">
        <v>2</v>
      </c>
      <c r="AL73">
        <v>3</v>
      </c>
      <c r="AM73">
        <v>5</v>
      </c>
      <c r="AN73">
        <f t="shared" si="12"/>
        <v>180</v>
      </c>
      <c r="AO73" cm="1">
        <f t="array" ref="AO73">PRODUCT(_xlfn.XLOOKUP(AI73:AM73,$B$3:$B$6,$C$3:$C$6))</f>
        <v>3.1363200000000002E-3</v>
      </c>
      <c r="AP73">
        <f t="shared" si="13"/>
        <v>0.56453760000000008</v>
      </c>
    </row>
    <row r="74" spans="18:42" x14ac:dyDescent="0.2">
      <c r="Z74">
        <v>3</v>
      </c>
      <c r="AA74">
        <v>2</v>
      </c>
      <c r="AB74">
        <v>4</v>
      </c>
      <c r="AC74">
        <v>2</v>
      </c>
      <c r="AD74">
        <f t="shared" si="10"/>
        <v>48</v>
      </c>
      <c r="AE74" cm="1">
        <f t="array" ref="AE74">PRODUCT(_xlfn.XLOOKUP(Z74:AC74,$B$3:$B$6,$C$3:$C$6))</f>
        <v>0</v>
      </c>
      <c r="AF74">
        <f t="shared" si="11"/>
        <v>0</v>
      </c>
      <c r="AI74">
        <v>2</v>
      </c>
      <c r="AJ74">
        <v>3</v>
      </c>
      <c r="AK74">
        <v>2</v>
      </c>
      <c r="AL74">
        <v>4</v>
      </c>
      <c r="AM74">
        <v>2</v>
      </c>
      <c r="AN74">
        <f t="shared" si="12"/>
        <v>96</v>
      </c>
      <c r="AO74" cm="1">
        <f t="array" ref="AO74">PRODUCT(_xlfn.XLOOKUP(AI74:AM74,$B$3:$B$6,$C$3:$C$6))</f>
        <v>0</v>
      </c>
      <c r="AP74">
        <f t="shared" si="13"/>
        <v>0</v>
      </c>
    </row>
    <row r="75" spans="18:42" x14ac:dyDescent="0.2">
      <c r="Z75">
        <v>3</v>
      </c>
      <c r="AA75">
        <v>2</v>
      </c>
      <c r="AB75">
        <v>4</v>
      </c>
      <c r="AC75">
        <v>3</v>
      </c>
      <c r="AD75">
        <f t="shared" si="10"/>
        <v>72</v>
      </c>
      <c r="AE75" cm="1">
        <f t="array" ref="AE75">PRODUCT(_xlfn.XLOOKUP(Z75:AC75,$B$3:$B$6,$C$3:$C$6))</f>
        <v>0</v>
      </c>
      <c r="AF75">
        <f t="shared" si="11"/>
        <v>0</v>
      </c>
      <c r="AI75">
        <v>2</v>
      </c>
      <c r="AJ75">
        <v>3</v>
      </c>
      <c r="AK75">
        <v>2</v>
      </c>
      <c r="AL75">
        <v>4</v>
      </c>
      <c r="AM75">
        <v>3</v>
      </c>
      <c r="AN75">
        <f t="shared" si="12"/>
        <v>144</v>
      </c>
      <c r="AO75" cm="1">
        <f t="array" ref="AO75">PRODUCT(_xlfn.XLOOKUP(AI75:AM75,$B$3:$B$6,$C$3:$C$6))</f>
        <v>0</v>
      </c>
      <c r="AP75">
        <f t="shared" si="13"/>
        <v>0</v>
      </c>
    </row>
    <row r="76" spans="18:42" x14ac:dyDescent="0.2">
      <c r="Z76">
        <v>3</v>
      </c>
      <c r="AA76">
        <v>2</v>
      </c>
      <c r="AB76">
        <v>4</v>
      </c>
      <c r="AC76">
        <v>4</v>
      </c>
      <c r="AD76">
        <f t="shared" si="10"/>
        <v>96</v>
      </c>
      <c r="AE76" cm="1">
        <f t="array" ref="AE76">PRODUCT(_xlfn.XLOOKUP(Z76:AC76,$B$3:$B$6,$C$3:$C$6))</f>
        <v>0</v>
      </c>
      <c r="AF76">
        <f t="shared" si="11"/>
        <v>0</v>
      </c>
      <c r="AI76">
        <v>2</v>
      </c>
      <c r="AJ76">
        <v>3</v>
      </c>
      <c r="AK76">
        <v>2</v>
      </c>
      <c r="AL76">
        <v>4</v>
      </c>
      <c r="AM76">
        <v>4</v>
      </c>
      <c r="AN76">
        <f t="shared" si="12"/>
        <v>192</v>
      </c>
      <c r="AO76" cm="1">
        <f t="array" ref="AO76">PRODUCT(_xlfn.XLOOKUP(AI76:AM76,$B$3:$B$6,$C$3:$C$6))</f>
        <v>0</v>
      </c>
      <c r="AP76">
        <f t="shared" si="13"/>
        <v>0</v>
      </c>
    </row>
    <row r="77" spans="18:42" x14ac:dyDescent="0.2">
      <c r="Z77">
        <v>3</v>
      </c>
      <c r="AA77">
        <v>2</v>
      </c>
      <c r="AB77">
        <v>4</v>
      </c>
      <c r="AC77">
        <v>5</v>
      </c>
      <c r="AD77">
        <f t="shared" si="10"/>
        <v>120</v>
      </c>
      <c r="AE77" cm="1">
        <f t="array" ref="AE77">PRODUCT(_xlfn.XLOOKUP(Z77:AC77,$B$3:$B$6,$C$3:$C$6))</f>
        <v>0</v>
      </c>
      <c r="AF77">
        <f t="shared" si="11"/>
        <v>0</v>
      </c>
      <c r="AI77">
        <v>2</v>
      </c>
      <c r="AJ77">
        <v>3</v>
      </c>
      <c r="AK77">
        <v>2</v>
      </c>
      <c r="AL77">
        <v>4</v>
      </c>
      <c r="AM77">
        <v>5</v>
      </c>
      <c r="AN77">
        <f t="shared" si="12"/>
        <v>240</v>
      </c>
      <c r="AO77" cm="1">
        <f t="array" ref="AO77">PRODUCT(_xlfn.XLOOKUP(AI77:AM77,$B$3:$B$6,$C$3:$C$6))</f>
        <v>0</v>
      </c>
      <c r="AP77">
        <f t="shared" si="13"/>
        <v>0</v>
      </c>
    </row>
    <row r="78" spans="18:42" x14ac:dyDescent="0.2">
      <c r="Z78">
        <v>3</v>
      </c>
      <c r="AA78">
        <v>2</v>
      </c>
      <c r="AB78">
        <v>5</v>
      </c>
      <c r="AC78">
        <v>2</v>
      </c>
      <c r="AD78">
        <f t="shared" si="10"/>
        <v>60</v>
      </c>
      <c r="AE78" cm="1">
        <f t="array" ref="AE78">PRODUCT(_xlfn.XLOOKUP(Z78:AC78,$B$3:$B$6,$C$3:$C$6))</f>
        <v>1.4256E-2</v>
      </c>
      <c r="AF78">
        <f t="shared" si="11"/>
        <v>0.85536000000000001</v>
      </c>
      <c r="AI78">
        <v>2</v>
      </c>
      <c r="AJ78">
        <v>3</v>
      </c>
      <c r="AK78">
        <v>2</v>
      </c>
      <c r="AL78">
        <v>5</v>
      </c>
      <c r="AM78">
        <v>2</v>
      </c>
      <c r="AN78">
        <f t="shared" si="12"/>
        <v>120</v>
      </c>
      <c r="AO78" cm="1">
        <f t="array" ref="AO78">PRODUCT(_xlfn.XLOOKUP(AI78:AM78,$B$3:$B$6,$C$3:$C$6))</f>
        <v>8.5535999999999997E-3</v>
      </c>
      <c r="AP78">
        <f t="shared" si="13"/>
        <v>1.026432</v>
      </c>
    </row>
    <row r="79" spans="18:42" x14ac:dyDescent="0.2">
      <c r="Z79">
        <v>3</v>
      </c>
      <c r="AA79">
        <v>2</v>
      </c>
      <c r="AB79">
        <v>5</v>
      </c>
      <c r="AC79">
        <v>3</v>
      </c>
      <c r="AD79">
        <f t="shared" si="10"/>
        <v>90</v>
      </c>
      <c r="AE79" cm="1">
        <f t="array" ref="AE79">PRODUCT(_xlfn.XLOOKUP(Z79:AC79,$B$3:$B$6,$C$3:$C$6))</f>
        <v>5.2272000000000004E-3</v>
      </c>
      <c r="AF79">
        <f t="shared" si="11"/>
        <v>0.47044800000000003</v>
      </c>
      <c r="AI79">
        <v>2</v>
      </c>
      <c r="AJ79">
        <v>3</v>
      </c>
      <c r="AK79">
        <v>2</v>
      </c>
      <c r="AL79">
        <v>5</v>
      </c>
      <c r="AM79">
        <v>3</v>
      </c>
      <c r="AN79">
        <f t="shared" si="12"/>
        <v>180</v>
      </c>
      <c r="AO79" cm="1">
        <f t="array" ref="AO79">PRODUCT(_xlfn.XLOOKUP(AI79:AM79,$B$3:$B$6,$C$3:$C$6))</f>
        <v>3.1363200000000002E-3</v>
      </c>
      <c r="AP79">
        <f t="shared" si="13"/>
        <v>0.56453760000000008</v>
      </c>
    </row>
    <row r="80" spans="18:42" x14ac:dyDescent="0.2">
      <c r="Z80">
        <v>3</v>
      </c>
      <c r="AA80">
        <v>2</v>
      </c>
      <c r="AB80">
        <v>5</v>
      </c>
      <c r="AC80">
        <v>4</v>
      </c>
      <c r="AD80">
        <f t="shared" si="10"/>
        <v>120</v>
      </c>
      <c r="AE80" cm="1">
        <f t="array" ref="AE80">PRODUCT(_xlfn.XLOOKUP(Z80:AC80,$B$3:$B$6,$C$3:$C$6))</f>
        <v>0</v>
      </c>
      <c r="AF80">
        <f t="shared" si="11"/>
        <v>0</v>
      </c>
      <c r="AI80">
        <v>2</v>
      </c>
      <c r="AJ80">
        <v>3</v>
      </c>
      <c r="AK80">
        <v>2</v>
      </c>
      <c r="AL80">
        <v>5</v>
      </c>
      <c r="AM80">
        <v>4</v>
      </c>
      <c r="AN80">
        <f t="shared" si="12"/>
        <v>240</v>
      </c>
      <c r="AO80" cm="1">
        <f t="array" ref="AO80">PRODUCT(_xlfn.XLOOKUP(AI80:AM80,$B$3:$B$6,$C$3:$C$6))</f>
        <v>0</v>
      </c>
      <c r="AP80">
        <f t="shared" si="13"/>
        <v>0</v>
      </c>
    </row>
    <row r="81" spans="26:42" x14ac:dyDescent="0.2">
      <c r="Z81">
        <v>3</v>
      </c>
      <c r="AA81">
        <v>2</v>
      </c>
      <c r="AB81">
        <v>5</v>
      </c>
      <c r="AC81">
        <v>5</v>
      </c>
      <c r="AD81">
        <f t="shared" si="10"/>
        <v>150</v>
      </c>
      <c r="AE81" cm="1">
        <f t="array" ref="AE81">PRODUCT(_xlfn.XLOOKUP(Z81:AC81,$B$3:$B$6,$C$3:$C$6))</f>
        <v>4.2767999999999999E-3</v>
      </c>
      <c r="AF81">
        <f t="shared" si="11"/>
        <v>0.64151999999999998</v>
      </c>
      <c r="AI81">
        <v>2</v>
      </c>
      <c r="AJ81">
        <v>3</v>
      </c>
      <c r="AK81">
        <v>2</v>
      </c>
      <c r="AL81">
        <v>5</v>
      </c>
      <c r="AM81">
        <v>5</v>
      </c>
      <c r="AN81">
        <f t="shared" si="12"/>
        <v>300</v>
      </c>
      <c r="AO81" cm="1">
        <f t="array" ref="AO81">PRODUCT(_xlfn.XLOOKUP(AI81:AM81,$B$3:$B$6,$C$3:$C$6))</f>
        <v>2.5660800000000001E-3</v>
      </c>
      <c r="AP81">
        <f t="shared" si="13"/>
        <v>0.76982400000000006</v>
      </c>
    </row>
    <row r="82" spans="26:42" x14ac:dyDescent="0.2">
      <c r="Z82">
        <v>3</v>
      </c>
      <c r="AA82">
        <v>3</v>
      </c>
      <c r="AB82">
        <v>2</v>
      </c>
      <c r="AC82">
        <v>2</v>
      </c>
      <c r="AD82">
        <f t="shared" si="10"/>
        <v>36</v>
      </c>
      <c r="AE82" cm="1">
        <f t="array" ref="AE82">PRODUCT(_xlfn.XLOOKUP(Z82:AC82,$B$3:$B$6,$C$3:$C$6))</f>
        <v>1.7423999999999999E-2</v>
      </c>
      <c r="AF82">
        <f t="shared" si="11"/>
        <v>0.62726399999999993</v>
      </c>
      <c r="AI82">
        <v>2</v>
      </c>
      <c r="AJ82">
        <v>3</v>
      </c>
      <c r="AK82">
        <v>3</v>
      </c>
      <c r="AL82">
        <v>2</v>
      </c>
      <c r="AM82">
        <v>2</v>
      </c>
      <c r="AN82">
        <f t="shared" si="12"/>
        <v>72</v>
      </c>
      <c r="AO82" cm="1">
        <f t="array" ref="AO82">PRODUCT(_xlfn.XLOOKUP(AI82:AM82,$B$3:$B$6,$C$3:$C$6))</f>
        <v>1.0454399999999999E-2</v>
      </c>
      <c r="AP82">
        <f t="shared" si="13"/>
        <v>0.75271679999999996</v>
      </c>
    </row>
    <row r="83" spans="26:42" x14ac:dyDescent="0.2">
      <c r="Z83">
        <v>3</v>
      </c>
      <c r="AA83">
        <v>3</v>
      </c>
      <c r="AB83">
        <v>2</v>
      </c>
      <c r="AC83">
        <v>3</v>
      </c>
      <c r="AD83">
        <f t="shared" si="10"/>
        <v>54</v>
      </c>
      <c r="AE83" cm="1">
        <f t="array" ref="AE83">PRODUCT(_xlfn.XLOOKUP(Z83:AC83,$B$3:$B$6,$C$3:$C$6))</f>
        <v>6.3887999999999992E-3</v>
      </c>
      <c r="AF83">
        <f t="shared" si="11"/>
        <v>0.34499519999999995</v>
      </c>
      <c r="AI83">
        <v>2</v>
      </c>
      <c r="AJ83">
        <v>3</v>
      </c>
      <c r="AK83">
        <v>3</v>
      </c>
      <c r="AL83">
        <v>2</v>
      </c>
      <c r="AM83">
        <v>3</v>
      </c>
      <c r="AN83">
        <f t="shared" si="12"/>
        <v>108</v>
      </c>
      <c r="AO83" cm="1">
        <f t="array" ref="AO83">PRODUCT(_xlfn.XLOOKUP(AI83:AM83,$B$3:$B$6,$C$3:$C$6))</f>
        <v>3.8332799999999997E-3</v>
      </c>
      <c r="AP83">
        <f t="shared" si="13"/>
        <v>0.41399423999999996</v>
      </c>
    </row>
    <row r="84" spans="26:42" x14ac:dyDescent="0.2">
      <c r="Z84">
        <v>3</v>
      </c>
      <c r="AA84">
        <v>3</v>
      </c>
      <c r="AB84">
        <v>2</v>
      </c>
      <c r="AC84">
        <v>4</v>
      </c>
      <c r="AD84">
        <f t="shared" si="10"/>
        <v>72</v>
      </c>
      <c r="AE84" cm="1">
        <f t="array" ref="AE84">PRODUCT(_xlfn.XLOOKUP(Z84:AC84,$B$3:$B$6,$C$3:$C$6))</f>
        <v>0</v>
      </c>
      <c r="AF84">
        <f t="shared" si="11"/>
        <v>0</v>
      </c>
      <c r="AI84">
        <v>2</v>
      </c>
      <c r="AJ84">
        <v>3</v>
      </c>
      <c r="AK84">
        <v>3</v>
      </c>
      <c r="AL84">
        <v>2</v>
      </c>
      <c r="AM84">
        <v>4</v>
      </c>
      <c r="AN84">
        <f t="shared" si="12"/>
        <v>144</v>
      </c>
      <c r="AO84" cm="1">
        <f t="array" ref="AO84">PRODUCT(_xlfn.XLOOKUP(AI84:AM84,$B$3:$B$6,$C$3:$C$6))</f>
        <v>0</v>
      </c>
      <c r="AP84">
        <f t="shared" si="13"/>
        <v>0</v>
      </c>
    </row>
    <row r="85" spans="26:42" x14ac:dyDescent="0.2">
      <c r="Z85">
        <v>3</v>
      </c>
      <c r="AA85">
        <v>3</v>
      </c>
      <c r="AB85">
        <v>2</v>
      </c>
      <c r="AC85">
        <v>5</v>
      </c>
      <c r="AD85">
        <f t="shared" si="10"/>
        <v>90</v>
      </c>
      <c r="AE85" cm="1">
        <f t="array" ref="AE85">PRODUCT(_xlfn.XLOOKUP(Z85:AC85,$B$3:$B$6,$C$3:$C$6))</f>
        <v>5.2271999999999996E-3</v>
      </c>
      <c r="AF85">
        <f t="shared" si="11"/>
        <v>0.47044799999999998</v>
      </c>
      <c r="AI85">
        <v>2</v>
      </c>
      <c r="AJ85">
        <v>3</v>
      </c>
      <c r="AK85">
        <v>3</v>
      </c>
      <c r="AL85">
        <v>2</v>
      </c>
      <c r="AM85">
        <v>5</v>
      </c>
      <c r="AN85">
        <f t="shared" si="12"/>
        <v>180</v>
      </c>
      <c r="AO85" cm="1">
        <f t="array" ref="AO85">PRODUCT(_xlfn.XLOOKUP(AI85:AM85,$B$3:$B$6,$C$3:$C$6))</f>
        <v>3.1363199999999997E-3</v>
      </c>
      <c r="AP85">
        <f t="shared" si="13"/>
        <v>0.56453759999999997</v>
      </c>
    </row>
    <row r="86" spans="26:42" x14ac:dyDescent="0.2">
      <c r="Z86">
        <v>3</v>
      </c>
      <c r="AA86">
        <v>3</v>
      </c>
      <c r="AB86">
        <v>3</v>
      </c>
      <c r="AC86">
        <v>2</v>
      </c>
      <c r="AD86">
        <f t="shared" si="10"/>
        <v>54</v>
      </c>
      <c r="AE86" cm="1">
        <f t="array" ref="AE86">PRODUCT(_xlfn.XLOOKUP(Z86:AC86,$B$3:$B$6,$C$3:$C$6))</f>
        <v>6.3887999999999992E-3</v>
      </c>
      <c r="AF86">
        <f t="shared" si="11"/>
        <v>0.34499519999999995</v>
      </c>
      <c r="AI86">
        <v>2</v>
      </c>
      <c r="AJ86">
        <v>3</v>
      </c>
      <c r="AK86">
        <v>3</v>
      </c>
      <c r="AL86">
        <v>3</v>
      </c>
      <c r="AM86">
        <v>2</v>
      </c>
      <c r="AN86">
        <f t="shared" si="12"/>
        <v>108</v>
      </c>
      <c r="AO86" cm="1">
        <f t="array" ref="AO86">PRODUCT(_xlfn.XLOOKUP(AI86:AM86,$B$3:$B$6,$C$3:$C$6))</f>
        <v>3.8332799999999997E-3</v>
      </c>
      <c r="AP86">
        <f t="shared" si="13"/>
        <v>0.41399423999999996</v>
      </c>
    </row>
    <row r="87" spans="26:42" x14ac:dyDescent="0.2">
      <c r="Z87">
        <v>3</v>
      </c>
      <c r="AA87">
        <v>3</v>
      </c>
      <c r="AB87">
        <v>3</v>
      </c>
      <c r="AC87">
        <v>3</v>
      </c>
      <c r="AD87">
        <f t="shared" si="10"/>
        <v>81</v>
      </c>
      <c r="AE87" cm="1">
        <f t="array" ref="AE87">PRODUCT(_xlfn.XLOOKUP(Z87:AC87,$B$3:$B$6,$C$3:$C$6))</f>
        <v>2.34256E-3</v>
      </c>
      <c r="AF87">
        <f t="shared" si="11"/>
        <v>0.18974736</v>
      </c>
      <c r="AI87">
        <v>2</v>
      </c>
      <c r="AJ87">
        <v>3</v>
      </c>
      <c r="AK87">
        <v>3</v>
      </c>
      <c r="AL87">
        <v>3</v>
      </c>
      <c r="AM87">
        <v>3</v>
      </c>
      <c r="AN87">
        <f t="shared" si="12"/>
        <v>162</v>
      </c>
      <c r="AO87" cm="1">
        <f t="array" ref="AO87">PRODUCT(_xlfn.XLOOKUP(AI87:AM87,$B$3:$B$6,$C$3:$C$6))</f>
        <v>1.405536E-3</v>
      </c>
      <c r="AP87">
        <f t="shared" si="13"/>
        <v>0.22769683199999999</v>
      </c>
    </row>
    <row r="88" spans="26:42" x14ac:dyDescent="0.2">
      <c r="Z88">
        <v>3</v>
      </c>
      <c r="AA88">
        <v>3</v>
      </c>
      <c r="AB88">
        <v>3</v>
      </c>
      <c r="AC88">
        <v>4</v>
      </c>
      <c r="AD88">
        <f t="shared" si="10"/>
        <v>108</v>
      </c>
      <c r="AE88" cm="1">
        <f t="array" ref="AE88">PRODUCT(_xlfn.XLOOKUP(Z88:AC88,$B$3:$B$6,$C$3:$C$6))</f>
        <v>0</v>
      </c>
      <c r="AF88">
        <f t="shared" si="11"/>
        <v>0</v>
      </c>
      <c r="AI88">
        <v>2</v>
      </c>
      <c r="AJ88">
        <v>3</v>
      </c>
      <c r="AK88">
        <v>3</v>
      </c>
      <c r="AL88">
        <v>3</v>
      </c>
      <c r="AM88">
        <v>4</v>
      </c>
      <c r="AN88">
        <f t="shared" si="12"/>
        <v>216</v>
      </c>
      <c r="AO88" cm="1">
        <f t="array" ref="AO88">PRODUCT(_xlfn.XLOOKUP(AI88:AM88,$B$3:$B$6,$C$3:$C$6))</f>
        <v>0</v>
      </c>
      <c r="AP88">
        <f t="shared" si="13"/>
        <v>0</v>
      </c>
    </row>
    <row r="89" spans="26:42" x14ac:dyDescent="0.2">
      <c r="Z89">
        <v>3</v>
      </c>
      <c r="AA89">
        <v>3</v>
      </c>
      <c r="AB89">
        <v>3</v>
      </c>
      <c r="AC89">
        <v>5</v>
      </c>
      <c r="AD89">
        <f t="shared" si="10"/>
        <v>135</v>
      </c>
      <c r="AE89" cm="1">
        <f t="array" ref="AE89">PRODUCT(_xlfn.XLOOKUP(Z89:AC89,$B$3:$B$6,$C$3:$C$6))</f>
        <v>1.9166399999999998E-3</v>
      </c>
      <c r="AF89">
        <f t="shared" si="11"/>
        <v>0.25874639999999999</v>
      </c>
      <c r="AI89">
        <v>2</v>
      </c>
      <c r="AJ89">
        <v>3</v>
      </c>
      <c r="AK89">
        <v>3</v>
      </c>
      <c r="AL89">
        <v>3</v>
      </c>
      <c r="AM89">
        <v>5</v>
      </c>
      <c r="AN89">
        <f t="shared" si="12"/>
        <v>270</v>
      </c>
      <c r="AO89" cm="1">
        <f t="array" ref="AO89">PRODUCT(_xlfn.XLOOKUP(AI89:AM89,$B$3:$B$6,$C$3:$C$6))</f>
        <v>1.1499839999999999E-3</v>
      </c>
      <c r="AP89">
        <f t="shared" si="13"/>
        <v>0.31049568</v>
      </c>
    </row>
    <row r="90" spans="26:42" x14ac:dyDescent="0.2">
      <c r="Z90">
        <v>3</v>
      </c>
      <c r="AA90">
        <v>3</v>
      </c>
      <c r="AB90">
        <v>4</v>
      </c>
      <c r="AC90">
        <v>2</v>
      </c>
      <c r="AD90">
        <f t="shared" si="10"/>
        <v>72</v>
      </c>
      <c r="AE90" cm="1">
        <f t="array" ref="AE90">PRODUCT(_xlfn.XLOOKUP(Z90:AC90,$B$3:$B$6,$C$3:$C$6))</f>
        <v>0</v>
      </c>
      <c r="AF90">
        <f t="shared" si="11"/>
        <v>0</v>
      </c>
      <c r="AI90">
        <v>2</v>
      </c>
      <c r="AJ90">
        <v>3</v>
      </c>
      <c r="AK90">
        <v>3</v>
      </c>
      <c r="AL90">
        <v>4</v>
      </c>
      <c r="AM90">
        <v>2</v>
      </c>
      <c r="AN90">
        <f t="shared" si="12"/>
        <v>144</v>
      </c>
      <c r="AO90" cm="1">
        <f t="array" ref="AO90">PRODUCT(_xlfn.XLOOKUP(AI90:AM90,$B$3:$B$6,$C$3:$C$6))</f>
        <v>0</v>
      </c>
      <c r="AP90">
        <f t="shared" si="13"/>
        <v>0</v>
      </c>
    </row>
    <row r="91" spans="26:42" x14ac:dyDescent="0.2">
      <c r="Z91">
        <v>3</v>
      </c>
      <c r="AA91">
        <v>3</v>
      </c>
      <c r="AB91">
        <v>4</v>
      </c>
      <c r="AC91">
        <v>3</v>
      </c>
      <c r="AD91">
        <f t="shared" si="10"/>
        <v>108</v>
      </c>
      <c r="AE91" cm="1">
        <f t="array" ref="AE91">PRODUCT(_xlfn.XLOOKUP(Z91:AC91,$B$3:$B$6,$C$3:$C$6))</f>
        <v>0</v>
      </c>
      <c r="AF91">
        <f t="shared" si="11"/>
        <v>0</v>
      </c>
      <c r="AI91">
        <v>2</v>
      </c>
      <c r="AJ91">
        <v>3</v>
      </c>
      <c r="AK91">
        <v>3</v>
      </c>
      <c r="AL91">
        <v>4</v>
      </c>
      <c r="AM91">
        <v>3</v>
      </c>
      <c r="AN91">
        <f t="shared" si="12"/>
        <v>216</v>
      </c>
      <c r="AO91" cm="1">
        <f t="array" ref="AO91">PRODUCT(_xlfn.XLOOKUP(AI91:AM91,$B$3:$B$6,$C$3:$C$6))</f>
        <v>0</v>
      </c>
      <c r="AP91">
        <f t="shared" si="13"/>
        <v>0</v>
      </c>
    </row>
    <row r="92" spans="26:42" x14ac:dyDescent="0.2">
      <c r="Z92">
        <v>3</v>
      </c>
      <c r="AA92">
        <v>3</v>
      </c>
      <c r="AB92">
        <v>4</v>
      </c>
      <c r="AC92">
        <v>4</v>
      </c>
      <c r="AD92">
        <f t="shared" si="10"/>
        <v>144</v>
      </c>
      <c r="AE92" cm="1">
        <f t="array" ref="AE92">PRODUCT(_xlfn.XLOOKUP(Z92:AC92,$B$3:$B$6,$C$3:$C$6))</f>
        <v>0</v>
      </c>
      <c r="AF92">
        <f t="shared" si="11"/>
        <v>0</v>
      </c>
      <c r="AI92">
        <v>2</v>
      </c>
      <c r="AJ92">
        <v>3</v>
      </c>
      <c r="AK92">
        <v>3</v>
      </c>
      <c r="AL92">
        <v>4</v>
      </c>
      <c r="AM92">
        <v>4</v>
      </c>
      <c r="AN92">
        <f t="shared" si="12"/>
        <v>288</v>
      </c>
      <c r="AO92" cm="1">
        <f t="array" ref="AO92">PRODUCT(_xlfn.XLOOKUP(AI92:AM92,$B$3:$B$6,$C$3:$C$6))</f>
        <v>0</v>
      </c>
      <c r="AP92">
        <f t="shared" si="13"/>
        <v>0</v>
      </c>
    </row>
    <row r="93" spans="26:42" x14ac:dyDescent="0.2">
      <c r="Z93">
        <v>3</v>
      </c>
      <c r="AA93">
        <v>3</v>
      </c>
      <c r="AB93">
        <v>4</v>
      </c>
      <c r="AC93">
        <v>5</v>
      </c>
      <c r="AD93">
        <f t="shared" si="10"/>
        <v>180</v>
      </c>
      <c r="AE93" cm="1">
        <f t="array" ref="AE93">PRODUCT(_xlfn.XLOOKUP(Z93:AC93,$B$3:$B$6,$C$3:$C$6))</f>
        <v>0</v>
      </c>
      <c r="AF93">
        <f t="shared" si="11"/>
        <v>0</v>
      </c>
      <c r="AI93">
        <v>2</v>
      </c>
      <c r="AJ93">
        <v>3</v>
      </c>
      <c r="AK93">
        <v>3</v>
      </c>
      <c r="AL93">
        <v>4</v>
      </c>
      <c r="AM93">
        <v>5</v>
      </c>
      <c r="AN93">
        <f t="shared" si="12"/>
        <v>360</v>
      </c>
      <c r="AO93" cm="1">
        <f t="array" ref="AO93">PRODUCT(_xlfn.XLOOKUP(AI93:AM93,$B$3:$B$6,$C$3:$C$6))</f>
        <v>0</v>
      </c>
      <c r="AP93">
        <f t="shared" si="13"/>
        <v>0</v>
      </c>
    </row>
    <row r="94" spans="26:42" x14ac:dyDescent="0.2">
      <c r="Z94">
        <v>3</v>
      </c>
      <c r="AA94">
        <v>3</v>
      </c>
      <c r="AB94">
        <v>5</v>
      </c>
      <c r="AC94">
        <v>2</v>
      </c>
      <c r="AD94">
        <f t="shared" si="10"/>
        <v>90</v>
      </c>
      <c r="AE94" cm="1">
        <f t="array" ref="AE94">PRODUCT(_xlfn.XLOOKUP(Z94:AC94,$B$3:$B$6,$C$3:$C$6))</f>
        <v>5.2271999999999996E-3</v>
      </c>
      <c r="AF94">
        <f t="shared" si="11"/>
        <v>0.47044799999999998</v>
      </c>
      <c r="AI94">
        <v>2</v>
      </c>
      <c r="AJ94">
        <v>3</v>
      </c>
      <c r="AK94">
        <v>3</v>
      </c>
      <c r="AL94">
        <v>5</v>
      </c>
      <c r="AM94">
        <v>2</v>
      </c>
      <c r="AN94">
        <f t="shared" si="12"/>
        <v>180</v>
      </c>
      <c r="AO94" cm="1">
        <f t="array" ref="AO94">PRODUCT(_xlfn.XLOOKUP(AI94:AM94,$B$3:$B$6,$C$3:$C$6))</f>
        <v>3.1363199999999997E-3</v>
      </c>
      <c r="AP94">
        <f t="shared" si="13"/>
        <v>0.56453759999999997</v>
      </c>
    </row>
    <row r="95" spans="26:42" x14ac:dyDescent="0.2">
      <c r="Z95">
        <v>3</v>
      </c>
      <c r="AA95">
        <v>3</v>
      </c>
      <c r="AB95">
        <v>5</v>
      </c>
      <c r="AC95">
        <v>3</v>
      </c>
      <c r="AD95">
        <f t="shared" si="10"/>
        <v>135</v>
      </c>
      <c r="AE95" cm="1">
        <f t="array" ref="AE95">PRODUCT(_xlfn.XLOOKUP(Z95:AC95,$B$3:$B$6,$C$3:$C$6))</f>
        <v>1.9166399999999998E-3</v>
      </c>
      <c r="AF95">
        <f t="shared" si="11"/>
        <v>0.25874639999999999</v>
      </c>
      <c r="AI95">
        <v>2</v>
      </c>
      <c r="AJ95">
        <v>3</v>
      </c>
      <c r="AK95">
        <v>3</v>
      </c>
      <c r="AL95">
        <v>5</v>
      </c>
      <c r="AM95">
        <v>3</v>
      </c>
      <c r="AN95">
        <f t="shared" si="12"/>
        <v>270</v>
      </c>
      <c r="AO95" cm="1">
        <f t="array" ref="AO95">PRODUCT(_xlfn.XLOOKUP(AI95:AM95,$B$3:$B$6,$C$3:$C$6))</f>
        <v>1.1499839999999999E-3</v>
      </c>
      <c r="AP95">
        <f t="shared" si="13"/>
        <v>0.31049568</v>
      </c>
    </row>
    <row r="96" spans="26:42" x14ac:dyDescent="0.2">
      <c r="Z96">
        <v>3</v>
      </c>
      <c r="AA96">
        <v>3</v>
      </c>
      <c r="AB96">
        <v>5</v>
      </c>
      <c r="AC96">
        <v>4</v>
      </c>
      <c r="AD96">
        <f t="shared" si="10"/>
        <v>180</v>
      </c>
      <c r="AE96" cm="1">
        <f t="array" ref="AE96">PRODUCT(_xlfn.XLOOKUP(Z96:AC96,$B$3:$B$6,$C$3:$C$6))</f>
        <v>0</v>
      </c>
      <c r="AF96">
        <f t="shared" si="11"/>
        <v>0</v>
      </c>
      <c r="AI96">
        <v>2</v>
      </c>
      <c r="AJ96">
        <v>3</v>
      </c>
      <c r="AK96">
        <v>3</v>
      </c>
      <c r="AL96">
        <v>5</v>
      </c>
      <c r="AM96">
        <v>4</v>
      </c>
      <c r="AN96">
        <f t="shared" si="12"/>
        <v>360</v>
      </c>
      <c r="AO96" cm="1">
        <f t="array" ref="AO96">PRODUCT(_xlfn.XLOOKUP(AI96:AM96,$B$3:$B$6,$C$3:$C$6))</f>
        <v>0</v>
      </c>
      <c r="AP96">
        <f t="shared" si="13"/>
        <v>0</v>
      </c>
    </row>
    <row r="97" spans="26:42" x14ac:dyDescent="0.2">
      <c r="Z97">
        <v>3</v>
      </c>
      <c r="AA97">
        <v>3</v>
      </c>
      <c r="AB97">
        <v>5</v>
      </c>
      <c r="AC97">
        <v>5</v>
      </c>
      <c r="AD97">
        <f t="shared" si="10"/>
        <v>225</v>
      </c>
      <c r="AE97" cm="1">
        <f t="array" ref="AE97">PRODUCT(_xlfn.XLOOKUP(Z97:AC97,$B$3:$B$6,$C$3:$C$6))</f>
        <v>1.5681599999999999E-3</v>
      </c>
      <c r="AF97">
        <f t="shared" si="11"/>
        <v>0.35283599999999998</v>
      </c>
      <c r="AI97">
        <v>2</v>
      </c>
      <c r="AJ97">
        <v>3</v>
      </c>
      <c r="AK97">
        <v>3</v>
      </c>
      <c r="AL97">
        <v>5</v>
      </c>
      <c r="AM97">
        <v>5</v>
      </c>
      <c r="AN97">
        <f t="shared" si="12"/>
        <v>450</v>
      </c>
      <c r="AO97" cm="1">
        <f t="array" ref="AO97">PRODUCT(_xlfn.XLOOKUP(AI97:AM97,$B$3:$B$6,$C$3:$C$6))</f>
        <v>9.4089599999999988E-4</v>
      </c>
      <c r="AP97">
        <f t="shared" si="13"/>
        <v>0.42340319999999992</v>
      </c>
    </row>
    <row r="98" spans="26:42" x14ac:dyDescent="0.2">
      <c r="Z98">
        <v>3</v>
      </c>
      <c r="AA98">
        <v>4</v>
      </c>
      <c r="AB98">
        <v>2</v>
      </c>
      <c r="AC98">
        <v>2</v>
      </c>
      <c r="AD98">
        <f t="shared" si="10"/>
        <v>48</v>
      </c>
      <c r="AE98" cm="1">
        <f t="array" ref="AE98">PRODUCT(_xlfn.XLOOKUP(Z98:AC98,$B$3:$B$6,$C$3:$C$6))</f>
        <v>0</v>
      </c>
      <c r="AF98">
        <f t="shared" si="11"/>
        <v>0</v>
      </c>
      <c r="AI98">
        <v>2</v>
      </c>
      <c r="AJ98">
        <v>3</v>
      </c>
      <c r="AK98">
        <v>4</v>
      </c>
      <c r="AL98">
        <v>2</v>
      </c>
      <c r="AM98">
        <v>2</v>
      </c>
      <c r="AN98">
        <f t="shared" si="12"/>
        <v>96</v>
      </c>
      <c r="AO98" cm="1">
        <f t="array" ref="AO98">PRODUCT(_xlfn.XLOOKUP(AI98:AM98,$B$3:$B$6,$C$3:$C$6))</f>
        <v>0</v>
      </c>
      <c r="AP98">
        <f t="shared" si="13"/>
        <v>0</v>
      </c>
    </row>
    <row r="99" spans="26:42" x14ac:dyDescent="0.2">
      <c r="Z99">
        <v>3</v>
      </c>
      <c r="AA99">
        <v>4</v>
      </c>
      <c r="AB99">
        <v>2</v>
      </c>
      <c r="AC99">
        <v>3</v>
      </c>
      <c r="AD99">
        <f t="shared" si="10"/>
        <v>72</v>
      </c>
      <c r="AE99" cm="1">
        <f t="array" ref="AE99">PRODUCT(_xlfn.XLOOKUP(Z99:AC99,$B$3:$B$6,$C$3:$C$6))</f>
        <v>0</v>
      </c>
      <c r="AF99">
        <f t="shared" si="11"/>
        <v>0</v>
      </c>
      <c r="AI99">
        <v>2</v>
      </c>
      <c r="AJ99">
        <v>3</v>
      </c>
      <c r="AK99">
        <v>4</v>
      </c>
      <c r="AL99">
        <v>2</v>
      </c>
      <c r="AM99">
        <v>3</v>
      </c>
      <c r="AN99">
        <f t="shared" si="12"/>
        <v>144</v>
      </c>
      <c r="AO99" cm="1">
        <f t="array" ref="AO99">PRODUCT(_xlfn.XLOOKUP(AI99:AM99,$B$3:$B$6,$C$3:$C$6))</f>
        <v>0</v>
      </c>
      <c r="AP99">
        <f t="shared" si="13"/>
        <v>0</v>
      </c>
    </row>
    <row r="100" spans="26:42" x14ac:dyDescent="0.2">
      <c r="Z100">
        <v>3</v>
      </c>
      <c r="AA100">
        <v>4</v>
      </c>
      <c r="AB100">
        <v>2</v>
      </c>
      <c r="AC100">
        <v>4</v>
      </c>
      <c r="AD100">
        <f t="shared" si="10"/>
        <v>96</v>
      </c>
      <c r="AE100" cm="1">
        <f t="array" ref="AE100">PRODUCT(_xlfn.XLOOKUP(Z100:AC100,$B$3:$B$6,$C$3:$C$6))</f>
        <v>0</v>
      </c>
      <c r="AF100">
        <f t="shared" si="11"/>
        <v>0</v>
      </c>
      <c r="AI100">
        <v>2</v>
      </c>
      <c r="AJ100">
        <v>3</v>
      </c>
      <c r="AK100">
        <v>4</v>
      </c>
      <c r="AL100">
        <v>2</v>
      </c>
      <c r="AM100">
        <v>4</v>
      </c>
      <c r="AN100">
        <f t="shared" si="12"/>
        <v>192</v>
      </c>
      <c r="AO100" cm="1">
        <f t="array" ref="AO100">PRODUCT(_xlfn.XLOOKUP(AI100:AM100,$B$3:$B$6,$C$3:$C$6))</f>
        <v>0</v>
      </c>
      <c r="AP100">
        <f t="shared" si="13"/>
        <v>0</v>
      </c>
    </row>
    <row r="101" spans="26:42" x14ac:dyDescent="0.2">
      <c r="Z101">
        <v>3</v>
      </c>
      <c r="AA101">
        <v>4</v>
      </c>
      <c r="AB101">
        <v>2</v>
      </c>
      <c r="AC101">
        <v>5</v>
      </c>
      <c r="AD101">
        <f t="shared" si="10"/>
        <v>120</v>
      </c>
      <c r="AE101" cm="1">
        <f t="array" ref="AE101">PRODUCT(_xlfn.XLOOKUP(Z101:AC101,$B$3:$B$6,$C$3:$C$6))</f>
        <v>0</v>
      </c>
      <c r="AF101">
        <f t="shared" si="11"/>
        <v>0</v>
      </c>
      <c r="AI101">
        <v>2</v>
      </c>
      <c r="AJ101">
        <v>3</v>
      </c>
      <c r="AK101">
        <v>4</v>
      </c>
      <c r="AL101">
        <v>2</v>
      </c>
      <c r="AM101">
        <v>5</v>
      </c>
      <c r="AN101">
        <f t="shared" si="12"/>
        <v>240</v>
      </c>
      <c r="AO101" cm="1">
        <f t="array" ref="AO101">PRODUCT(_xlfn.XLOOKUP(AI101:AM101,$B$3:$B$6,$C$3:$C$6))</f>
        <v>0</v>
      </c>
      <c r="AP101">
        <f t="shared" si="13"/>
        <v>0</v>
      </c>
    </row>
    <row r="102" spans="26:42" x14ac:dyDescent="0.2">
      <c r="Z102">
        <v>3</v>
      </c>
      <c r="AA102">
        <v>4</v>
      </c>
      <c r="AB102">
        <v>3</v>
      </c>
      <c r="AC102">
        <v>2</v>
      </c>
      <c r="AD102">
        <f t="shared" si="10"/>
        <v>72</v>
      </c>
      <c r="AE102" cm="1">
        <f t="array" ref="AE102">PRODUCT(_xlfn.XLOOKUP(Z102:AC102,$B$3:$B$6,$C$3:$C$6))</f>
        <v>0</v>
      </c>
      <c r="AF102">
        <f t="shared" si="11"/>
        <v>0</v>
      </c>
      <c r="AI102">
        <v>2</v>
      </c>
      <c r="AJ102">
        <v>3</v>
      </c>
      <c r="AK102">
        <v>4</v>
      </c>
      <c r="AL102">
        <v>3</v>
      </c>
      <c r="AM102">
        <v>2</v>
      </c>
      <c r="AN102">
        <f t="shared" si="12"/>
        <v>144</v>
      </c>
      <c r="AO102" cm="1">
        <f t="array" ref="AO102">PRODUCT(_xlfn.XLOOKUP(AI102:AM102,$B$3:$B$6,$C$3:$C$6))</f>
        <v>0</v>
      </c>
      <c r="AP102">
        <f t="shared" si="13"/>
        <v>0</v>
      </c>
    </row>
    <row r="103" spans="26:42" x14ac:dyDescent="0.2">
      <c r="Z103">
        <v>3</v>
      </c>
      <c r="AA103">
        <v>4</v>
      </c>
      <c r="AB103">
        <v>3</v>
      </c>
      <c r="AC103">
        <v>3</v>
      </c>
      <c r="AD103">
        <f t="shared" si="10"/>
        <v>108</v>
      </c>
      <c r="AE103" cm="1">
        <f t="array" ref="AE103">PRODUCT(_xlfn.XLOOKUP(Z103:AC103,$B$3:$B$6,$C$3:$C$6))</f>
        <v>0</v>
      </c>
      <c r="AF103">
        <f t="shared" si="11"/>
        <v>0</v>
      </c>
      <c r="AI103">
        <v>2</v>
      </c>
      <c r="AJ103">
        <v>3</v>
      </c>
      <c r="AK103">
        <v>4</v>
      </c>
      <c r="AL103">
        <v>3</v>
      </c>
      <c r="AM103">
        <v>3</v>
      </c>
      <c r="AN103">
        <f t="shared" si="12"/>
        <v>216</v>
      </c>
      <c r="AO103" cm="1">
        <f t="array" ref="AO103">PRODUCT(_xlfn.XLOOKUP(AI103:AM103,$B$3:$B$6,$C$3:$C$6))</f>
        <v>0</v>
      </c>
      <c r="AP103">
        <f t="shared" si="13"/>
        <v>0</v>
      </c>
    </row>
    <row r="104" spans="26:42" x14ac:dyDescent="0.2">
      <c r="Z104">
        <v>3</v>
      </c>
      <c r="AA104">
        <v>4</v>
      </c>
      <c r="AB104">
        <v>3</v>
      </c>
      <c r="AC104">
        <v>4</v>
      </c>
      <c r="AD104">
        <f t="shared" si="10"/>
        <v>144</v>
      </c>
      <c r="AE104" cm="1">
        <f t="array" ref="AE104">PRODUCT(_xlfn.XLOOKUP(Z104:AC104,$B$3:$B$6,$C$3:$C$6))</f>
        <v>0</v>
      </c>
      <c r="AF104">
        <f t="shared" si="11"/>
        <v>0</v>
      </c>
      <c r="AI104">
        <v>2</v>
      </c>
      <c r="AJ104">
        <v>3</v>
      </c>
      <c r="AK104">
        <v>4</v>
      </c>
      <c r="AL104">
        <v>3</v>
      </c>
      <c r="AM104">
        <v>4</v>
      </c>
      <c r="AN104">
        <f t="shared" si="12"/>
        <v>288</v>
      </c>
      <c r="AO104" cm="1">
        <f t="array" ref="AO104">PRODUCT(_xlfn.XLOOKUP(AI104:AM104,$B$3:$B$6,$C$3:$C$6))</f>
        <v>0</v>
      </c>
      <c r="AP104">
        <f t="shared" si="13"/>
        <v>0</v>
      </c>
    </row>
    <row r="105" spans="26:42" x14ac:dyDescent="0.2">
      <c r="Z105">
        <v>3</v>
      </c>
      <c r="AA105">
        <v>4</v>
      </c>
      <c r="AB105">
        <v>3</v>
      </c>
      <c r="AC105">
        <v>5</v>
      </c>
      <c r="AD105">
        <f t="shared" si="10"/>
        <v>180</v>
      </c>
      <c r="AE105" cm="1">
        <f t="array" ref="AE105">PRODUCT(_xlfn.XLOOKUP(Z105:AC105,$B$3:$B$6,$C$3:$C$6))</f>
        <v>0</v>
      </c>
      <c r="AF105">
        <f t="shared" si="11"/>
        <v>0</v>
      </c>
      <c r="AI105">
        <v>2</v>
      </c>
      <c r="AJ105">
        <v>3</v>
      </c>
      <c r="AK105">
        <v>4</v>
      </c>
      <c r="AL105">
        <v>3</v>
      </c>
      <c r="AM105">
        <v>5</v>
      </c>
      <c r="AN105">
        <f t="shared" si="12"/>
        <v>360</v>
      </c>
      <c r="AO105" cm="1">
        <f t="array" ref="AO105">PRODUCT(_xlfn.XLOOKUP(AI105:AM105,$B$3:$B$6,$C$3:$C$6))</f>
        <v>0</v>
      </c>
      <c r="AP105">
        <f t="shared" si="13"/>
        <v>0</v>
      </c>
    </row>
    <row r="106" spans="26:42" x14ac:dyDescent="0.2">
      <c r="Z106">
        <v>3</v>
      </c>
      <c r="AA106">
        <v>4</v>
      </c>
      <c r="AB106">
        <v>4</v>
      </c>
      <c r="AC106">
        <v>2</v>
      </c>
      <c r="AD106">
        <f t="shared" si="10"/>
        <v>96</v>
      </c>
      <c r="AE106" cm="1">
        <f t="array" ref="AE106">PRODUCT(_xlfn.XLOOKUP(Z106:AC106,$B$3:$B$6,$C$3:$C$6))</f>
        <v>0</v>
      </c>
      <c r="AF106">
        <f t="shared" si="11"/>
        <v>0</v>
      </c>
      <c r="AI106">
        <v>2</v>
      </c>
      <c r="AJ106">
        <v>3</v>
      </c>
      <c r="AK106">
        <v>4</v>
      </c>
      <c r="AL106">
        <v>4</v>
      </c>
      <c r="AM106">
        <v>2</v>
      </c>
      <c r="AN106">
        <f t="shared" si="12"/>
        <v>192</v>
      </c>
      <c r="AO106" cm="1">
        <f t="array" ref="AO106">PRODUCT(_xlfn.XLOOKUP(AI106:AM106,$B$3:$B$6,$C$3:$C$6))</f>
        <v>0</v>
      </c>
      <c r="AP106">
        <f t="shared" si="13"/>
        <v>0</v>
      </c>
    </row>
    <row r="107" spans="26:42" x14ac:dyDescent="0.2">
      <c r="Z107">
        <v>3</v>
      </c>
      <c r="AA107">
        <v>4</v>
      </c>
      <c r="AB107">
        <v>4</v>
      </c>
      <c r="AC107">
        <v>3</v>
      </c>
      <c r="AD107">
        <f t="shared" si="10"/>
        <v>144</v>
      </c>
      <c r="AE107" cm="1">
        <f t="array" ref="AE107">PRODUCT(_xlfn.XLOOKUP(Z107:AC107,$B$3:$B$6,$C$3:$C$6))</f>
        <v>0</v>
      </c>
      <c r="AF107">
        <f t="shared" si="11"/>
        <v>0</v>
      </c>
      <c r="AI107">
        <v>2</v>
      </c>
      <c r="AJ107">
        <v>3</v>
      </c>
      <c r="AK107">
        <v>4</v>
      </c>
      <c r="AL107">
        <v>4</v>
      </c>
      <c r="AM107">
        <v>3</v>
      </c>
      <c r="AN107">
        <f t="shared" si="12"/>
        <v>288</v>
      </c>
      <c r="AO107" cm="1">
        <f t="array" ref="AO107">PRODUCT(_xlfn.XLOOKUP(AI107:AM107,$B$3:$B$6,$C$3:$C$6))</f>
        <v>0</v>
      </c>
      <c r="AP107">
        <f t="shared" si="13"/>
        <v>0</v>
      </c>
    </row>
    <row r="108" spans="26:42" x14ac:dyDescent="0.2">
      <c r="Z108">
        <v>3</v>
      </c>
      <c r="AA108">
        <v>4</v>
      </c>
      <c r="AB108">
        <v>4</v>
      </c>
      <c r="AC108">
        <v>4</v>
      </c>
      <c r="AD108">
        <f t="shared" si="10"/>
        <v>192</v>
      </c>
      <c r="AE108" cm="1">
        <f t="array" ref="AE108">PRODUCT(_xlfn.XLOOKUP(Z108:AC108,$B$3:$B$6,$C$3:$C$6))</f>
        <v>0</v>
      </c>
      <c r="AF108">
        <f t="shared" si="11"/>
        <v>0</v>
      </c>
      <c r="AI108">
        <v>2</v>
      </c>
      <c r="AJ108">
        <v>3</v>
      </c>
      <c r="AK108">
        <v>4</v>
      </c>
      <c r="AL108">
        <v>4</v>
      </c>
      <c r="AM108">
        <v>4</v>
      </c>
      <c r="AN108">
        <f t="shared" si="12"/>
        <v>384</v>
      </c>
      <c r="AO108" cm="1">
        <f t="array" ref="AO108">PRODUCT(_xlfn.XLOOKUP(AI108:AM108,$B$3:$B$6,$C$3:$C$6))</f>
        <v>0</v>
      </c>
      <c r="AP108">
        <f t="shared" si="13"/>
        <v>0</v>
      </c>
    </row>
    <row r="109" spans="26:42" x14ac:dyDescent="0.2">
      <c r="Z109">
        <v>3</v>
      </c>
      <c r="AA109">
        <v>4</v>
      </c>
      <c r="AB109">
        <v>4</v>
      </c>
      <c r="AC109">
        <v>5</v>
      </c>
      <c r="AD109">
        <f t="shared" si="10"/>
        <v>240</v>
      </c>
      <c r="AE109" cm="1">
        <f t="array" ref="AE109">PRODUCT(_xlfn.XLOOKUP(Z109:AC109,$B$3:$B$6,$C$3:$C$6))</f>
        <v>0</v>
      </c>
      <c r="AF109">
        <f t="shared" si="11"/>
        <v>0</v>
      </c>
      <c r="AI109">
        <v>2</v>
      </c>
      <c r="AJ109">
        <v>3</v>
      </c>
      <c r="AK109">
        <v>4</v>
      </c>
      <c r="AL109">
        <v>4</v>
      </c>
      <c r="AM109">
        <v>5</v>
      </c>
      <c r="AN109">
        <f t="shared" si="12"/>
        <v>480</v>
      </c>
      <c r="AO109" cm="1">
        <f t="array" ref="AO109">PRODUCT(_xlfn.XLOOKUP(AI109:AM109,$B$3:$B$6,$C$3:$C$6))</f>
        <v>0</v>
      </c>
      <c r="AP109">
        <f t="shared" si="13"/>
        <v>0</v>
      </c>
    </row>
    <row r="110" spans="26:42" x14ac:dyDescent="0.2">
      <c r="Z110">
        <v>3</v>
      </c>
      <c r="AA110">
        <v>4</v>
      </c>
      <c r="AB110">
        <v>5</v>
      </c>
      <c r="AC110">
        <v>2</v>
      </c>
      <c r="AD110">
        <f t="shared" si="10"/>
        <v>120</v>
      </c>
      <c r="AE110" cm="1">
        <f t="array" ref="AE110">PRODUCT(_xlfn.XLOOKUP(Z110:AC110,$B$3:$B$6,$C$3:$C$6))</f>
        <v>0</v>
      </c>
      <c r="AF110">
        <f t="shared" si="11"/>
        <v>0</v>
      </c>
      <c r="AI110">
        <v>2</v>
      </c>
      <c r="AJ110">
        <v>3</v>
      </c>
      <c r="AK110">
        <v>4</v>
      </c>
      <c r="AL110">
        <v>5</v>
      </c>
      <c r="AM110">
        <v>2</v>
      </c>
      <c r="AN110">
        <f t="shared" si="12"/>
        <v>240</v>
      </c>
      <c r="AO110" cm="1">
        <f t="array" ref="AO110">PRODUCT(_xlfn.XLOOKUP(AI110:AM110,$B$3:$B$6,$C$3:$C$6))</f>
        <v>0</v>
      </c>
      <c r="AP110">
        <f t="shared" si="13"/>
        <v>0</v>
      </c>
    </row>
    <row r="111" spans="26:42" x14ac:dyDescent="0.2">
      <c r="Z111">
        <v>3</v>
      </c>
      <c r="AA111">
        <v>4</v>
      </c>
      <c r="AB111">
        <v>5</v>
      </c>
      <c r="AC111">
        <v>3</v>
      </c>
      <c r="AD111">
        <f t="shared" si="10"/>
        <v>180</v>
      </c>
      <c r="AE111" cm="1">
        <f t="array" ref="AE111">PRODUCT(_xlfn.XLOOKUP(Z111:AC111,$B$3:$B$6,$C$3:$C$6))</f>
        <v>0</v>
      </c>
      <c r="AF111">
        <f t="shared" si="11"/>
        <v>0</v>
      </c>
      <c r="AI111">
        <v>2</v>
      </c>
      <c r="AJ111">
        <v>3</v>
      </c>
      <c r="AK111">
        <v>4</v>
      </c>
      <c r="AL111">
        <v>5</v>
      </c>
      <c r="AM111">
        <v>3</v>
      </c>
      <c r="AN111">
        <f t="shared" si="12"/>
        <v>360</v>
      </c>
      <c r="AO111" cm="1">
        <f t="array" ref="AO111">PRODUCT(_xlfn.XLOOKUP(AI111:AM111,$B$3:$B$6,$C$3:$C$6))</f>
        <v>0</v>
      </c>
      <c r="AP111">
        <f t="shared" si="13"/>
        <v>0</v>
      </c>
    </row>
    <row r="112" spans="26:42" x14ac:dyDescent="0.2">
      <c r="Z112">
        <v>3</v>
      </c>
      <c r="AA112">
        <v>4</v>
      </c>
      <c r="AB112">
        <v>5</v>
      </c>
      <c r="AC112">
        <v>4</v>
      </c>
      <c r="AD112">
        <f t="shared" si="10"/>
        <v>240</v>
      </c>
      <c r="AE112" cm="1">
        <f t="array" ref="AE112">PRODUCT(_xlfn.XLOOKUP(Z112:AC112,$B$3:$B$6,$C$3:$C$6))</f>
        <v>0</v>
      </c>
      <c r="AF112">
        <f t="shared" si="11"/>
        <v>0</v>
      </c>
      <c r="AI112">
        <v>2</v>
      </c>
      <c r="AJ112">
        <v>3</v>
      </c>
      <c r="AK112">
        <v>4</v>
      </c>
      <c r="AL112">
        <v>5</v>
      </c>
      <c r="AM112">
        <v>4</v>
      </c>
      <c r="AN112">
        <f t="shared" si="12"/>
        <v>480</v>
      </c>
      <c r="AO112" cm="1">
        <f t="array" ref="AO112">PRODUCT(_xlfn.XLOOKUP(AI112:AM112,$B$3:$B$6,$C$3:$C$6))</f>
        <v>0</v>
      </c>
      <c r="AP112">
        <f t="shared" si="13"/>
        <v>0</v>
      </c>
    </row>
    <row r="113" spans="26:42" x14ac:dyDescent="0.2">
      <c r="Z113">
        <v>3</v>
      </c>
      <c r="AA113">
        <v>4</v>
      </c>
      <c r="AB113">
        <v>5</v>
      </c>
      <c r="AC113">
        <v>5</v>
      </c>
      <c r="AD113">
        <f t="shared" si="10"/>
        <v>300</v>
      </c>
      <c r="AE113" cm="1">
        <f t="array" ref="AE113">PRODUCT(_xlfn.XLOOKUP(Z113:AC113,$B$3:$B$6,$C$3:$C$6))</f>
        <v>0</v>
      </c>
      <c r="AF113">
        <f t="shared" si="11"/>
        <v>0</v>
      </c>
      <c r="AI113">
        <v>2</v>
      </c>
      <c r="AJ113">
        <v>3</v>
      </c>
      <c r="AK113">
        <v>4</v>
      </c>
      <c r="AL113">
        <v>5</v>
      </c>
      <c r="AM113">
        <v>5</v>
      </c>
      <c r="AN113">
        <f t="shared" si="12"/>
        <v>600</v>
      </c>
      <c r="AO113" cm="1">
        <f t="array" ref="AO113">PRODUCT(_xlfn.XLOOKUP(AI113:AM113,$B$3:$B$6,$C$3:$C$6))</f>
        <v>0</v>
      </c>
      <c r="AP113">
        <f t="shared" si="13"/>
        <v>0</v>
      </c>
    </row>
    <row r="114" spans="26:42" x14ac:dyDescent="0.2">
      <c r="Z114">
        <v>3</v>
      </c>
      <c r="AA114">
        <v>5</v>
      </c>
      <c r="AB114">
        <v>2</v>
      </c>
      <c r="AC114">
        <v>2</v>
      </c>
      <c r="AD114">
        <f t="shared" si="10"/>
        <v>60</v>
      </c>
      <c r="AE114" cm="1">
        <f t="array" ref="AE114">PRODUCT(_xlfn.XLOOKUP(Z114:AC114,$B$3:$B$6,$C$3:$C$6))</f>
        <v>1.4255999999999998E-2</v>
      </c>
      <c r="AF114">
        <f t="shared" si="11"/>
        <v>0.8553599999999999</v>
      </c>
      <c r="AI114">
        <v>2</v>
      </c>
      <c r="AJ114">
        <v>3</v>
      </c>
      <c r="AK114">
        <v>5</v>
      </c>
      <c r="AL114">
        <v>2</v>
      </c>
      <c r="AM114">
        <v>2</v>
      </c>
      <c r="AN114">
        <f t="shared" si="12"/>
        <v>120</v>
      </c>
      <c r="AO114" cm="1">
        <f t="array" ref="AO114">PRODUCT(_xlfn.XLOOKUP(AI114:AM114,$B$3:$B$6,$C$3:$C$6))</f>
        <v>8.5535999999999997E-3</v>
      </c>
      <c r="AP114">
        <f t="shared" si="13"/>
        <v>1.026432</v>
      </c>
    </row>
    <row r="115" spans="26:42" x14ac:dyDescent="0.2">
      <c r="Z115">
        <v>3</v>
      </c>
      <c r="AA115">
        <v>5</v>
      </c>
      <c r="AB115">
        <v>2</v>
      </c>
      <c r="AC115">
        <v>3</v>
      </c>
      <c r="AD115">
        <f t="shared" si="10"/>
        <v>90</v>
      </c>
      <c r="AE115" cm="1">
        <f t="array" ref="AE115">PRODUCT(_xlfn.XLOOKUP(Z115:AC115,$B$3:$B$6,$C$3:$C$6))</f>
        <v>5.2271999999999996E-3</v>
      </c>
      <c r="AF115">
        <f t="shared" si="11"/>
        <v>0.47044799999999998</v>
      </c>
      <c r="AI115">
        <v>2</v>
      </c>
      <c r="AJ115">
        <v>3</v>
      </c>
      <c r="AK115">
        <v>5</v>
      </c>
      <c r="AL115">
        <v>2</v>
      </c>
      <c r="AM115">
        <v>3</v>
      </c>
      <c r="AN115">
        <f t="shared" si="12"/>
        <v>180</v>
      </c>
      <c r="AO115" cm="1">
        <f t="array" ref="AO115">PRODUCT(_xlfn.XLOOKUP(AI115:AM115,$B$3:$B$6,$C$3:$C$6))</f>
        <v>3.1363199999999997E-3</v>
      </c>
      <c r="AP115">
        <f t="shared" si="13"/>
        <v>0.56453759999999997</v>
      </c>
    </row>
    <row r="116" spans="26:42" x14ac:dyDescent="0.2">
      <c r="Z116">
        <v>3</v>
      </c>
      <c r="AA116">
        <v>5</v>
      </c>
      <c r="AB116">
        <v>2</v>
      </c>
      <c r="AC116">
        <v>4</v>
      </c>
      <c r="AD116">
        <f t="shared" si="10"/>
        <v>120</v>
      </c>
      <c r="AE116" cm="1">
        <f t="array" ref="AE116">PRODUCT(_xlfn.XLOOKUP(Z116:AC116,$B$3:$B$6,$C$3:$C$6))</f>
        <v>0</v>
      </c>
      <c r="AF116">
        <f t="shared" si="11"/>
        <v>0</v>
      </c>
      <c r="AI116">
        <v>2</v>
      </c>
      <c r="AJ116">
        <v>3</v>
      </c>
      <c r="AK116">
        <v>5</v>
      </c>
      <c r="AL116">
        <v>2</v>
      </c>
      <c r="AM116">
        <v>4</v>
      </c>
      <c r="AN116">
        <f t="shared" si="12"/>
        <v>240</v>
      </c>
      <c r="AO116" cm="1">
        <f t="array" ref="AO116">PRODUCT(_xlfn.XLOOKUP(AI116:AM116,$B$3:$B$6,$C$3:$C$6))</f>
        <v>0</v>
      </c>
      <c r="AP116">
        <f t="shared" si="13"/>
        <v>0</v>
      </c>
    </row>
    <row r="117" spans="26:42" x14ac:dyDescent="0.2">
      <c r="Z117">
        <v>3</v>
      </c>
      <c r="AA117">
        <v>5</v>
      </c>
      <c r="AB117">
        <v>2</v>
      </c>
      <c r="AC117">
        <v>5</v>
      </c>
      <c r="AD117">
        <f t="shared" si="10"/>
        <v>150</v>
      </c>
      <c r="AE117" cm="1">
        <f t="array" ref="AE117">PRODUCT(_xlfn.XLOOKUP(Z117:AC117,$B$3:$B$6,$C$3:$C$6))</f>
        <v>4.276799999999999E-3</v>
      </c>
      <c r="AF117">
        <f t="shared" si="11"/>
        <v>0.64151999999999987</v>
      </c>
      <c r="AI117">
        <v>2</v>
      </c>
      <c r="AJ117">
        <v>3</v>
      </c>
      <c r="AK117">
        <v>5</v>
      </c>
      <c r="AL117">
        <v>2</v>
      </c>
      <c r="AM117">
        <v>5</v>
      </c>
      <c r="AN117">
        <f t="shared" si="12"/>
        <v>300</v>
      </c>
      <c r="AO117" cm="1">
        <f t="array" ref="AO117">PRODUCT(_xlfn.XLOOKUP(AI117:AM117,$B$3:$B$6,$C$3:$C$6))</f>
        <v>2.5660799999999997E-3</v>
      </c>
      <c r="AP117">
        <f t="shared" si="13"/>
        <v>0.76982399999999995</v>
      </c>
    </row>
    <row r="118" spans="26:42" x14ac:dyDescent="0.2">
      <c r="Z118">
        <v>3</v>
      </c>
      <c r="AA118">
        <v>5</v>
      </c>
      <c r="AB118">
        <v>3</v>
      </c>
      <c r="AC118">
        <v>2</v>
      </c>
      <c r="AD118">
        <f t="shared" si="10"/>
        <v>90</v>
      </c>
      <c r="AE118" cm="1">
        <f t="array" ref="AE118">PRODUCT(_xlfn.XLOOKUP(Z118:AC118,$B$3:$B$6,$C$3:$C$6))</f>
        <v>5.2271999999999996E-3</v>
      </c>
      <c r="AF118">
        <f t="shared" si="11"/>
        <v>0.47044799999999998</v>
      </c>
      <c r="AI118">
        <v>2</v>
      </c>
      <c r="AJ118">
        <v>3</v>
      </c>
      <c r="AK118">
        <v>5</v>
      </c>
      <c r="AL118">
        <v>3</v>
      </c>
      <c r="AM118">
        <v>2</v>
      </c>
      <c r="AN118">
        <f t="shared" si="12"/>
        <v>180</v>
      </c>
      <c r="AO118" cm="1">
        <f t="array" ref="AO118">PRODUCT(_xlfn.XLOOKUP(AI118:AM118,$B$3:$B$6,$C$3:$C$6))</f>
        <v>3.1363200000000002E-3</v>
      </c>
      <c r="AP118">
        <f t="shared" si="13"/>
        <v>0.56453760000000008</v>
      </c>
    </row>
    <row r="119" spans="26:42" x14ac:dyDescent="0.2">
      <c r="Z119">
        <v>3</v>
      </c>
      <c r="AA119">
        <v>5</v>
      </c>
      <c r="AB119">
        <v>3</v>
      </c>
      <c r="AC119">
        <v>3</v>
      </c>
      <c r="AD119">
        <f t="shared" si="10"/>
        <v>135</v>
      </c>
      <c r="AE119" cm="1">
        <f t="array" ref="AE119">PRODUCT(_xlfn.XLOOKUP(Z119:AC119,$B$3:$B$6,$C$3:$C$6))</f>
        <v>1.9166399999999998E-3</v>
      </c>
      <c r="AF119">
        <f t="shared" si="11"/>
        <v>0.25874639999999999</v>
      </c>
      <c r="AI119">
        <v>2</v>
      </c>
      <c r="AJ119">
        <v>3</v>
      </c>
      <c r="AK119">
        <v>5</v>
      </c>
      <c r="AL119">
        <v>3</v>
      </c>
      <c r="AM119">
        <v>3</v>
      </c>
      <c r="AN119">
        <f t="shared" si="12"/>
        <v>270</v>
      </c>
      <c r="AO119" cm="1">
        <f t="array" ref="AO119">PRODUCT(_xlfn.XLOOKUP(AI119:AM119,$B$3:$B$6,$C$3:$C$6))</f>
        <v>1.1499840000000002E-3</v>
      </c>
      <c r="AP119">
        <f t="shared" si="13"/>
        <v>0.31049568000000005</v>
      </c>
    </row>
    <row r="120" spans="26:42" x14ac:dyDescent="0.2">
      <c r="Z120">
        <v>3</v>
      </c>
      <c r="AA120">
        <v>5</v>
      </c>
      <c r="AB120">
        <v>3</v>
      </c>
      <c r="AC120">
        <v>4</v>
      </c>
      <c r="AD120">
        <f t="shared" si="10"/>
        <v>180</v>
      </c>
      <c r="AE120" cm="1">
        <f t="array" ref="AE120">PRODUCT(_xlfn.XLOOKUP(Z120:AC120,$B$3:$B$6,$C$3:$C$6))</f>
        <v>0</v>
      </c>
      <c r="AF120">
        <f t="shared" si="11"/>
        <v>0</v>
      </c>
      <c r="AI120">
        <v>2</v>
      </c>
      <c r="AJ120">
        <v>3</v>
      </c>
      <c r="AK120">
        <v>5</v>
      </c>
      <c r="AL120">
        <v>3</v>
      </c>
      <c r="AM120">
        <v>4</v>
      </c>
      <c r="AN120">
        <f t="shared" si="12"/>
        <v>360</v>
      </c>
      <c r="AO120" cm="1">
        <f t="array" ref="AO120">PRODUCT(_xlfn.XLOOKUP(AI120:AM120,$B$3:$B$6,$C$3:$C$6))</f>
        <v>0</v>
      </c>
      <c r="AP120">
        <f t="shared" si="13"/>
        <v>0</v>
      </c>
    </row>
    <row r="121" spans="26:42" x14ac:dyDescent="0.2">
      <c r="Z121">
        <v>3</v>
      </c>
      <c r="AA121">
        <v>5</v>
      </c>
      <c r="AB121">
        <v>3</v>
      </c>
      <c r="AC121">
        <v>5</v>
      </c>
      <c r="AD121">
        <f t="shared" si="10"/>
        <v>225</v>
      </c>
      <c r="AE121" cm="1">
        <f t="array" ref="AE121">PRODUCT(_xlfn.XLOOKUP(Z121:AC121,$B$3:$B$6,$C$3:$C$6))</f>
        <v>1.5681599999999999E-3</v>
      </c>
      <c r="AF121">
        <f t="shared" si="11"/>
        <v>0.35283599999999998</v>
      </c>
      <c r="AI121">
        <v>2</v>
      </c>
      <c r="AJ121">
        <v>3</v>
      </c>
      <c r="AK121">
        <v>5</v>
      </c>
      <c r="AL121">
        <v>3</v>
      </c>
      <c r="AM121">
        <v>5</v>
      </c>
      <c r="AN121">
        <f t="shared" si="12"/>
        <v>450</v>
      </c>
      <c r="AO121" cm="1">
        <f t="array" ref="AO121">PRODUCT(_xlfn.XLOOKUP(AI121:AM121,$B$3:$B$6,$C$3:$C$6))</f>
        <v>9.4089600000000009E-4</v>
      </c>
      <c r="AP121">
        <f t="shared" si="13"/>
        <v>0.42340320000000004</v>
      </c>
    </row>
    <row r="122" spans="26:42" x14ac:dyDescent="0.2">
      <c r="Z122">
        <v>3</v>
      </c>
      <c r="AA122">
        <v>5</v>
      </c>
      <c r="AB122">
        <v>4</v>
      </c>
      <c r="AC122">
        <v>2</v>
      </c>
      <c r="AD122">
        <f t="shared" si="10"/>
        <v>120</v>
      </c>
      <c r="AE122" cm="1">
        <f t="array" ref="AE122">PRODUCT(_xlfn.XLOOKUP(Z122:AC122,$B$3:$B$6,$C$3:$C$6))</f>
        <v>0</v>
      </c>
      <c r="AF122">
        <f t="shared" si="11"/>
        <v>0</v>
      </c>
      <c r="AI122">
        <v>2</v>
      </c>
      <c r="AJ122">
        <v>3</v>
      </c>
      <c r="AK122">
        <v>5</v>
      </c>
      <c r="AL122">
        <v>4</v>
      </c>
      <c r="AM122">
        <v>2</v>
      </c>
      <c r="AN122">
        <f t="shared" si="12"/>
        <v>240</v>
      </c>
      <c r="AO122" cm="1">
        <f t="array" ref="AO122">PRODUCT(_xlfn.XLOOKUP(AI122:AM122,$B$3:$B$6,$C$3:$C$6))</f>
        <v>0</v>
      </c>
      <c r="AP122">
        <f t="shared" si="13"/>
        <v>0</v>
      </c>
    </row>
    <row r="123" spans="26:42" x14ac:dyDescent="0.2">
      <c r="Z123">
        <v>3</v>
      </c>
      <c r="AA123">
        <v>5</v>
      </c>
      <c r="AB123">
        <v>4</v>
      </c>
      <c r="AC123">
        <v>3</v>
      </c>
      <c r="AD123">
        <f t="shared" si="10"/>
        <v>180</v>
      </c>
      <c r="AE123" cm="1">
        <f t="array" ref="AE123">PRODUCT(_xlfn.XLOOKUP(Z123:AC123,$B$3:$B$6,$C$3:$C$6))</f>
        <v>0</v>
      </c>
      <c r="AF123">
        <f t="shared" si="11"/>
        <v>0</v>
      </c>
      <c r="AI123">
        <v>2</v>
      </c>
      <c r="AJ123">
        <v>3</v>
      </c>
      <c r="AK123">
        <v>5</v>
      </c>
      <c r="AL123">
        <v>4</v>
      </c>
      <c r="AM123">
        <v>3</v>
      </c>
      <c r="AN123">
        <f t="shared" si="12"/>
        <v>360</v>
      </c>
      <c r="AO123" cm="1">
        <f t="array" ref="AO123">PRODUCT(_xlfn.XLOOKUP(AI123:AM123,$B$3:$B$6,$C$3:$C$6))</f>
        <v>0</v>
      </c>
      <c r="AP123">
        <f t="shared" si="13"/>
        <v>0</v>
      </c>
    </row>
    <row r="124" spans="26:42" x14ac:dyDescent="0.2">
      <c r="Z124">
        <v>3</v>
      </c>
      <c r="AA124">
        <v>5</v>
      </c>
      <c r="AB124">
        <v>4</v>
      </c>
      <c r="AC124">
        <v>4</v>
      </c>
      <c r="AD124">
        <f t="shared" si="10"/>
        <v>240</v>
      </c>
      <c r="AE124" cm="1">
        <f t="array" ref="AE124">PRODUCT(_xlfn.XLOOKUP(Z124:AC124,$B$3:$B$6,$C$3:$C$6))</f>
        <v>0</v>
      </c>
      <c r="AF124">
        <f t="shared" si="11"/>
        <v>0</v>
      </c>
      <c r="AI124">
        <v>2</v>
      </c>
      <c r="AJ124">
        <v>3</v>
      </c>
      <c r="AK124">
        <v>5</v>
      </c>
      <c r="AL124">
        <v>4</v>
      </c>
      <c r="AM124">
        <v>4</v>
      </c>
      <c r="AN124">
        <f t="shared" si="12"/>
        <v>480</v>
      </c>
      <c r="AO124" cm="1">
        <f t="array" ref="AO124">PRODUCT(_xlfn.XLOOKUP(AI124:AM124,$B$3:$B$6,$C$3:$C$6))</f>
        <v>0</v>
      </c>
      <c r="AP124">
        <f t="shared" si="13"/>
        <v>0</v>
      </c>
    </row>
    <row r="125" spans="26:42" x14ac:dyDescent="0.2">
      <c r="Z125">
        <v>3</v>
      </c>
      <c r="AA125">
        <v>5</v>
      </c>
      <c r="AB125">
        <v>4</v>
      </c>
      <c r="AC125">
        <v>5</v>
      </c>
      <c r="AD125">
        <f t="shared" si="10"/>
        <v>300</v>
      </c>
      <c r="AE125" cm="1">
        <f t="array" ref="AE125">PRODUCT(_xlfn.XLOOKUP(Z125:AC125,$B$3:$B$6,$C$3:$C$6))</f>
        <v>0</v>
      </c>
      <c r="AF125">
        <f t="shared" si="11"/>
        <v>0</v>
      </c>
      <c r="AI125">
        <v>2</v>
      </c>
      <c r="AJ125">
        <v>3</v>
      </c>
      <c r="AK125">
        <v>5</v>
      </c>
      <c r="AL125">
        <v>4</v>
      </c>
      <c r="AM125">
        <v>5</v>
      </c>
      <c r="AN125">
        <f t="shared" si="12"/>
        <v>600</v>
      </c>
      <c r="AO125" cm="1">
        <f t="array" ref="AO125">PRODUCT(_xlfn.XLOOKUP(AI125:AM125,$B$3:$B$6,$C$3:$C$6))</f>
        <v>0</v>
      </c>
      <c r="AP125">
        <f t="shared" si="13"/>
        <v>0</v>
      </c>
    </row>
    <row r="126" spans="26:42" x14ac:dyDescent="0.2">
      <c r="Z126">
        <v>3</v>
      </c>
      <c r="AA126">
        <v>5</v>
      </c>
      <c r="AB126">
        <v>5</v>
      </c>
      <c r="AC126">
        <v>2</v>
      </c>
      <c r="AD126">
        <f t="shared" si="10"/>
        <v>150</v>
      </c>
      <c r="AE126" cm="1">
        <f t="array" ref="AE126">PRODUCT(_xlfn.XLOOKUP(Z126:AC126,$B$3:$B$6,$C$3:$C$6))</f>
        <v>4.276799999999999E-3</v>
      </c>
      <c r="AF126">
        <f t="shared" si="11"/>
        <v>0.64151999999999987</v>
      </c>
      <c r="AI126">
        <v>2</v>
      </c>
      <c r="AJ126">
        <v>3</v>
      </c>
      <c r="AK126">
        <v>5</v>
      </c>
      <c r="AL126">
        <v>5</v>
      </c>
      <c r="AM126">
        <v>2</v>
      </c>
      <c r="AN126">
        <f t="shared" si="12"/>
        <v>300</v>
      </c>
      <c r="AO126" cm="1">
        <f t="array" ref="AO126">PRODUCT(_xlfn.XLOOKUP(AI126:AM126,$B$3:$B$6,$C$3:$C$6))</f>
        <v>2.5660799999999997E-3</v>
      </c>
      <c r="AP126">
        <f t="shared" si="13"/>
        <v>0.76982399999999995</v>
      </c>
    </row>
    <row r="127" spans="26:42" x14ac:dyDescent="0.2">
      <c r="Z127">
        <v>3</v>
      </c>
      <c r="AA127">
        <v>5</v>
      </c>
      <c r="AB127">
        <v>5</v>
      </c>
      <c r="AC127">
        <v>3</v>
      </c>
      <c r="AD127">
        <f t="shared" si="10"/>
        <v>225</v>
      </c>
      <c r="AE127" cm="1">
        <f t="array" ref="AE127">PRODUCT(_xlfn.XLOOKUP(Z127:AC127,$B$3:$B$6,$C$3:$C$6))</f>
        <v>1.5681599999999999E-3</v>
      </c>
      <c r="AF127">
        <f t="shared" si="11"/>
        <v>0.35283599999999998</v>
      </c>
      <c r="AI127">
        <v>2</v>
      </c>
      <c r="AJ127">
        <v>3</v>
      </c>
      <c r="AK127">
        <v>5</v>
      </c>
      <c r="AL127">
        <v>5</v>
      </c>
      <c r="AM127">
        <v>3</v>
      </c>
      <c r="AN127">
        <f t="shared" si="12"/>
        <v>450</v>
      </c>
      <c r="AO127" cm="1">
        <f t="array" ref="AO127">PRODUCT(_xlfn.XLOOKUP(AI127:AM127,$B$3:$B$6,$C$3:$C$6))</f>
        <v>9.4089599999999998E-4</v>
      </c>
      <c r="AP127">
        <f t="shared" si="13"/>
        <v>0.42340319999999998</v>
      </c>
    </row>
    <row r="128" spans="26:42" x14ac:dyDescent="0.2">
      <c r="Z128">
        <v>3</v>
      </c>
      <c r="AA128">
        <v>5</v>
      </c>
      <c r="AB128">
        <v>5</v>
      </c>
      <c r="AC128">
        <v>4</v>
      </c>
      <c r="AD128">
        <f t="shared" si="10"/>
        <v>300</v>
      </c>
      <c r="AE128" cm="1">
        <f t="array" ref="AE128">PRODUCT(_xlfn.XLOOKUP(Z128:AC128,$B$3:$B$6,$C$3:$C$6))</f>
        <v>0</v>
      </c>
      <c r="AF128">
        <f t="shared" si="11"/>
        <v>0</v>
      </c>
      <c r="AI128">
        <v>2</v>
      </c>
      <c r="AJ128">
        <v>3</v>
      </c>
      <c r="AK128">
        <v>5</v>
      </c>
      <c r="AL128">
        <v>5</v>
      </c>
      <c r="AM128">
        <v>4</v>
      </c>
      <c r="AN128">
        <f t="shared" si="12"/>
        <v>600</v>
      </c>
      <c r="AO128" cm="1">
        <f t="array" ref="AO128">PRODUCT(_xlfn.XLOOKUP(AI128:AM128,$B$3:$B$6,$C$3:$C$6))</f>
        <v>0</v>
      </c>
      <c r="AP128">
        <f t="shared" si="13"/>
        <v>0</v>
      </c>
    </row>
    <row r="129" spans="26:42" x14ac:dyDescent="0.2">
      <c r="Z129">
        <v>3</v>
      </c>
      <c r="AA129">
        <v>5</v>
      </c>
      <c r="AB129">
        <v>5</v>
      </c>
      <c r="AC129">
        <v>5</v>
      </c>
      <c r="AD129">
        <f t="shared" si="10"/>
        <v>375</v>
      </c>
      <c r="AE129" cm="1">
        <f t="array" ref="AE129">PRODUCT(_xlfn.XLOOKUP(Z129:AC129,$B$3:$B$6,$C$3:$C$6))</f>
        <v>1.2830399999999998E-3</v>
      </c>
      <c r="AF129">
        <f t="shared" si="11"/>
        <v>0.48113999999999996</v>
      </c>
      <c r="AI129">
        <v>2</v>
      </c>
      <c r="AJ129">
        <v>3</v>
      </c>
      <c r="AK129">
        <v>5</v>
      </c>
      <c r="AL129">
        <v>5</v>
      </c>
      <c r="AM129">
        <v>5</v>
      </c>
      <c r="AN129">
        <f t="shared" si="12"/>
        <v>750</v>
      </c>
      <c r="AO129" cm="1">
        <f t="array" ref="AO129">PRODUCT(_xlfn.XLOOKUP(AI129:AM129,$B$3:$B$6,$C$3:$C$6))</f>
        <v>7.698239999999999E-4</v>
      </c>
      <c r="AP129">
        <f t="shared" si="13"/>
        <v>0.57736799999999988</v>
      </c>
    </row>
    <row r="130" spans="26:42" x14ac:dyDescent="0.2">
      <c r="Z130">
        <v>4</v>
      </c>
      <c r="AA130">
        <v>2</v>
      </c>
      <c r="AB130">
        <v>2</v>
      </c>
      <c r="AC130">
        <v>2</v>
      </c>
      <c r="AD130">
        <f t="shared" si="10"/>
        <v>32</v>
      </c>
      <c r="AE130" cm="1">
        <f t="array" ref="AE130">PRODUCT(_xlfn.XLOOKUP(Z130:AC130,$B$3:$B$6,$C$3:$C$6))</f>
        <v>0</v>
      </c>
      <c r="AF130">
        <f t="shared" si="11"/>
        <v>0</v>
      </c>
      <c r="AI130">
        <v>2</v>
      </c>
      <c r="AJ130">
        <v>4</v>
      </c>
      <c r="AK130">
        <v>2</v>
      </c>
      <c r="AL130">
        <v>2</v>
      </c>
      <c r="AM130">
        <v>2</v>
      </c>
      <c r="AN130">
        <f t="shared" si="12"/>
        <v>64</v>
      </c>
      <c r="AO130" cm="1">
        <f t="array" ref="AO130">PRODUCT(_xlfn.XLOOKUP(AI130:AM130,$B$3:$B$6,$C$3:$C$6))</f>
        <v>0</v>
      </c>
      <c r="AP130">
        <f t="shared" si="13"/>
        <v>0</v>
      </c>
    </row>
    <row r="131" spans="26:42" x14ac:dyDescent="0.2">
      <c r="Z131">
        <v>4</v>
      </c>
      <c r="AA131">
        <v>2</v>
      </c>
      <c r="AB131">
        <v>2</v>
      </c>
      <c r="AC131">
        <v>3</v>
      </c>
      <c r="AD131">
        <f t="shared" ref="AD131:AD194" si="14">PRODUCT(Z131:AC131)</f>
        <v>48</v>
      </c>
      <c r="AE131" cm="1">
        <f t="array" ref="AE131">PRODUCT(_xlfn.XLOOKUP(Z131:AC131,$B$3:$B$6,$C$3:$C$6))</f>
        <v>0</v>
      </c>
      <c r="AF131">
        <f t="shared" ref="AF131:AF194" si="15">AD131*AE131</f>
        <v>0</v>
      </c>
      <c r="AI131">
        <v>2</v>
      </c>
      <c r="AJ131">
        <v>4</v>
      </c>
      <c r="AK131">
        <v>2</v>
      </c>
      <c r="AL131">
        <v>2</v>
      </c>
      <c r="AM131">
        <v>3</v>
      </c>
      <c r="AN131">
        <f t="shared" ref="AN131:AN194" si="16">PRODUCT(AI131:AM131)</f>
        <v>96</v>
      </c>
      <c r="AO131" cm="1">
        <f t="array" ref="AO131">PRODUCT(_xlfn.XLOOKUP(AI131:AM131,$B$3:$B$6,$C$3:$C$6))</f>
        <v>0</v>
      </c>
      <c r="AP131">
        <f t="shared" ref="AP131:AP194" si="17">AN131*AO131</f>
        <v>0</v>
      </c>
    </row>
    <row r="132" spans="26:42" x14ac:dyDescent="0.2">
      <c r="Z132">
        <v>4</v>
      </c>
      <c r="AA132">
        <v>2</v>
      </c>
      <c r="AB132">
        <v>2</v>
      </c>
      <c r="AC132">
        <v>4</v>
      </c>
      <c r="AD132">
        <f t="shared" si="14"/>
        <v>64</v>
      </c>
      <c r="AE132" cm="1">
        <f t="array" ref="AE132">PRODUCT(_xlfn.XLOOKUP(Z132:AC132,$B$3:$B$6,$C$3:$C$6))</f>
        <v>0</v>
      </c>
      <c r="AF132">
        <f t="shared" si="15"/>
        <v>0</v>
      </c>
      <c r="AI132">
        <v>2</v>
      </c>
      <c r="AJ132">
        <v>4</v>
      </c>
      <c r="AK132">
        <v>2</v>
      </c>
      <c r="AL132">
        <v>2</v>
      </c>
      <c r="AM132">
        <v>4</v>
      </c>
      <c r="AN132">
        <f t="shared" si="16"/>
        <v>128</v>
      </c>
      <c r="AO132" cm="1">
        <f t="array" ref="AO132">PRODUCT(_xlfn.XLOOKUP(AI132:AM132,$B$3:$B$6,$C$3:$C$6))</f>
        <v>0</v>
      </c>
      <c r="AP132">
        <f t="shared" si="17"/>
        <v>0</v>
      </c>
    </row>
    <row r="133" spans="26:42" x14ac:dyDescent="0.2">
      <c r="Z133">
        <v>4</v>
      </c>
      <c r="AA133">
        <v>2</v>
      </c>
      <c r="AB133">
        <v>2</v>
      </c>
      <c r="AC133">
        <v>5</v>
      </c>
      <c r="AD133">
        <f t="shared" si="14"/>
        <v>80</v>
      </c>
      <c r="AE133" cm="1">
        <f t="array" ref="AE133">PRODUCT(_xlfn.XLOOKUP(Z133:AC133,$B$3:$B$6,$C$3:$C$6))</f>
        <v>0</v>
      </c>
      <c r="AF133">
        <f t="shared" si="15"/>
        <v>0</v>
      </c>
      <c r="AI133">
        <v>2</v>
      </c>
      <c r="AJ133">
        <v>4</v>
      </c>
      <c r="AK133">
        <v>2</v>
      </c>
      <c r="AL133">
        <v>2</v>
      </c>
      <c r="AM133">
        <v>5</v>
      </c>
      <c r="AN133">
        <f t="shared" si="16"/>
        <v>160</v>
      </c>
      <c r="AO133" cm="1">
        <f t="array" ref="AO133">PRODUCT(_xlfn.XLOOKUP(AI133:AM133,$B$3:$B$6,$C$3:$C$6))</f>
        <v>0</v>
      </c>
      <c r="AP133">
        <f t="shared" si="17"/>
        <v>0</v>
      </c>
    </row>
    <row r="134" spans="26:42" x14ac:dyDescent="0.2">
      <c r="Z134">
        <v>4</v>
      </c>
      <c r="AA134">
        <v>2</v>
      </c>
      <c r="AB134">
        <v>3</v>
      </c>
      <c r="AC134">
        <v>2</v>
      </c>
      <c r="AD134">
        <f t="shared" si="14"/>
        <v>48</v>
      </c>
      <c r="AE134" cm="1">
        <f t="array" ref="AE134">PRODUCT(_xlfn.XLOOKUP(Z134:AC134,$B$3:$B$6,$C$3:$C$6))</f>
        <v>0</v>
      </c>
      <c r="AF134">
        <f t="shared" si="15"/>
        <v>0</v>
      </c>
      <c r="AI134">
        <v>2</v>
      </c>
      <c r="AJ134">
        <v>4</v>
      </c>
      <c r="AK134">
        <v>2</v>
      </c>
      <c r="AL134">
        <v>3</v>
      </c>
      <c r="AM134">
        <v>2</v>
      </c>
      <c r="AN134">
        <f t="shared" si="16"/>
        <v>96</v>
      </c>
      <c r="AO134" cm="1">
        <f t="array" ref="AO134">PRODUCT(_xlfn.XLOOKUP(AI134:AM134,$B$3:$B$6,$C$3:$C$6))</f>
        <v>0</v>
      </c>
      <c r="AP134">
        <f t="shared" si="17"/>
        <v>0</v>
      </c>
    </row>
    <row r="135" spans="26:42" x14ac:dyDescent="0.2">
      <c r="Z135">
        <v>4</v>
      </c>
      <c r="AA135">
        <v>2</v>
      </c>
      <c r="AB135">
        <v>3</v>
      </c>
      <c r="AC135">
        <v>3</v>
      </c>
      <c r="AD135">
        <f t="shared" si="14"/>
        <v>72</v>
      </c>
      <c r="AE135" cm="1">
        <f t="array" ref="AE135">PRODUCT(_xlfn.XLOOKUP(Z135:AC135,$B$3:$B$6,$C$3:$C$6))</f>
        <v>0</v>
      </c>
      <c r="AF135">
        <f t="shared" si="15"/>
        <v>0</v>
      </c>
      <c r="AI135">
        <v>2</v>
      </c>
      <c r="AJ135">
        <v>4</v>
      </c>
      <c r="AK135">
        <v>2</v>
      </c>
      <c r="AL135">
        <v>3</v>
      </c>
      <c r="AM135">
        <v>3</v>
      </c>
      <c r="AN135">
        <f t="shared" si="16"/>
        <v>144</v>
      </c>
      <c r="AO135" cm="1">
        <f t="array" ref="AO135">PRODUCT(_xlfn.XLOOKUP(AI135:AM135,$B$3:$B$6,$C$3:$C$6))</f>
        <v>0</v>
      </c>
      <c r="AP135">
        <f t="shared" si="17"/>
        <v>0</v>
      </c>
    </row>
    <row r="136" spans="26:42" x14ac:dyDescent="0.2">
      <c r="Z136">
        <v>4</v>
      </c>
      <c r="AA136">
        <v>2</v>
      </c>
      <c r="AB136">
        <v>3</v>
      </c>
      <c r="AC136">
        <v>4</v>
      </c>
      <c r="AD136">
        <f t="shared" si="14"/>
        <v>96</v>
      </c>
      <c r="AE136" cm="1">
        <f t="array" ref="AE136">PRODUCT(_xlfn.XLOOKUP(Z136:AC136,$B$3:$B$6,$C$3:$C$6))</f>
        <v>0</v>
      </c>
      <c r="AF136">
        <f t="shared" si="15"/>
        <v>0</v>
      </c>
      <c r="AI136">
        <v>2</v>
      </c>
      <c r="AJ136">
        <v>4</v>
      </c>
      <c r="AK136">
        <v>2</v>
      </c>
      <c r="AL136">
        <v>3</v>
      </c>
      <c r="AM136">
        <v>4</v>
      </c>
      <c r="AN136">
        <f t="shared" si="16"/>
        <v>192</v>
      </c>
      <c r="AO136" cm="1">
        <f t="array" ref="AO136">PRODUCT(_xlfn.XLOOKUP(AI136:AM136,$B$3:$B$6,$C$3:$C$6))</f>
        <v>0</v>
      </c>
      <c r="AP136">
        <f t="shared" si="17"/>
        <v>0</v>
      </c>
    </row>
    <row r="137" spans="26:42" x14ac:dyDescent="0.2">
      <c r="Z137">
        <v>4</v>
      </c>
      <c r="AA137">
        <v>2</v>
      </c>
      <c r="AB137">
        <v>3</v>
      </c>
      <c r="AC137">
        <v>5</v>
      </c>
      <c r="AD137">
        <f t="shared" si="14"/>
        <v>120</v>
      </c>
      <c r="AE137" cm="1">
        <f t="array" ref="AE137">PRODUCT(_xlfn.XLOOKUP(Z137:AC137,$B$3:$B$6,$C$3:$C$6))</f>
        <v>0</v>
      </c>
      <c r="AF137">
        <f t="shared" si="15"/>
        <v>0</v>
      </c>
      <c r="AI137">
        <v>2</v>
      </c>
      <c r="AJ137">
        <v>4</v>
      </c>
      <c r="AK137">
        <v>2</v>
      </c>
      <c r="AL137">
        <v>3</v>
      </c>
      <c r="AM137">
        <v>5</v>
      </c>
      <c r="AN137">
        <f t="shared" si="16"/>
        <v>240</v>
      </c>
      <c r="AO137" cm="1">
        <f t="array" ref="AO137">PRODUCT(_xlfn.XLOOKUP(AI137:AM137,$B$3:$B$6,$C$3:$C$6))</f>
        <v>0</v>
      </c>
      <c r="AP137">
        <f t="shared" si="17"/>
        <v>0</v>
      </c>
    </row>
    <row r="138" spans="26:42" x14ac:dyDescent="0.2">
      <c r="Z138">
        <v>4</v>
      </c>
      <c r="AA138">
        <v>2</v>
      </c>
      <c r="AB138">
        <v>4</v>
      </c>
      <c r="AC138">
        <v>2</v>
      </c>
      <c r="AD138">
        <f t="shared" si="14"/>
        <v>64</v>
      </c>
      <c r="AE138" cm="1">
        <f t="array" ref="AE138">PRODUCT(_xlfn.XLOOKUP(Z138:AC138,$B$3:$B$6,$C$3:$C$6))</f>
        <v>0</v>
      </c>
      <c r="AF138">
        <f t="shared" si="15"/>
        <v>0</v>
      </c>
      <c r="AI138">
        <v>2</v>
      </c>
      <c r="AJ138">
        <v>4</v>
      </c>
      <c r="AK138">
        <v>2</v>
      </c>
      <c r="AL138">
        <v>4</v>
      </c>
      <c r="AM138">
        <v>2</v>
      </c>
      <c r="AN138">
        <f t="shared" si="16"/>
        <v>128</v>
      </c>
      <c r="AO138" cm="1">
        <f t="array" ref="AO138">PRODUCT(_xlfn.XLOOKUP(AI138:AM138,$B$3:$B$6,$C$3:$C$6))</f>
        <v>0</v>
      </c>
      <c r="AP138">
        <f t="shared" si="17"/>
        <v>0</v>
      </c>
    </row>
    <row r="139" spans="26:42" x14ac:dyDescent="0.2">
      <c r="Z139">
        <v>4</v>
      </c>
      <c r="AA139">
        <v>2</v>
      </c>
      <c r="AB139">
        <v>4</v>
      </c>
      <c r="AC139">
        <v>3</v>
      </c>
      <c r="AD139">
        <f t="shared" si="14"/>
        <v>96</v>
      </c>
      <c r="AE139" cm="1">
        <f t="array" ref="AE139">PRODUCT(_xlfn.XLOOKUP(Z139:AC139,$B$3:$B$6,$C$3:$C$6))</f>
        <v>0</v>
      </c>
      <c r="AF139">
        <f t="shared" si="15"/>
        <v>0</v>
      </c>
      <c r="AI139">
        <v>2</v>
      </c>
      <c r="AJ139">
        <v>4</v>
      </c>
      <c r="AK139">
        <v>2</v>
      </c>
      <c r="AL139">
        <v>4</v>
      </c>
      <c r="AM139">
        <v>3</v>
      </c>
      <c r="AN139">
        <f t="shared" si="16"/>
        <v>192</v>
      </c>
      <c r="AO139" cm="1">
        <f t="array" ref="AO139">PRODUCT(_xlfn.XLOOKUP(AI139:AM139,$B$3:$B$6,$C$3:$C$6))</f>
        <v>0</v>
      </c>
      <c r="AP139">
        <f t="shared" si="17"/>
        <v>0</v>
      </c>
    </row>
    <row r="140" spans="26:42" x14ac:dyDescent="0.2">
      <c r="Z140">
        <v>4</v>
      </c>
      <c r="AA140">
        <v>2</v>
      </c>
      <c r="AB140">
        <v>4</v>
      </c>
      <c r="AC140">
        <v>4</v>
      </c>
      <c r="AD140">
        <f t="shared" si="14"/>
        <v>128</v>
      </c>
      <c r="AE140" cm="1">
        <f t="array" ref="AE140">PRODUCT(_xlfn.XLOOKUP(Z140:AC140,$B$3:$B$6,$C$3:$C$6))</f>
        <v>0</v>
      </c>
      <c r="AF140">
        <f t="shared" si="15"/>
        <v>0</v>
      </c>
      <c r="AI140">
        <v>2</v>
      </c>
      <c r="AJ140">
        <v>4</v>
      </c>
      <c r="AK140">
        <v>2</v>
      </c>
      <c r="AL140">
        <v>4</v>
      </c>
      <c r="AM140">
        <v>4</v>
      </c>
      <c r="AN140">
        <f t="shared" si="16"/>
        <v>256</v>
      </c>
      <c r="AO140" cm="1">
        <f t="array" ref="AO140">PRODUCT(_xlfn.XLOOKUP(AI140:AM140,$B$3:$B$6,$C$3:$C$6))</f>
        <v>0</v>
      </c>
      <c r="AP140">
        <f t="shared" si="17"/>
        <v>0</v>
      </c>
    </row>
    <row r="141" spans="26:42" x14ac:dyDescent="0.2">
      <c r="Z141">
        <v>4</v>
      </c>
      <c r="AA141">
        <v>2</v>
      </c>
      <c r="AB141">
        <v>4</v>
      </c>
      <c r="AC141">
        <v>5</v>
      </c>
      <c r="AD141">
        <f t="shared" si="14"/>
        <v>160</v>
      </c>
      <c r="AE141" cm="1">
        <f t="array" ref="AE141">PRODUCT(_xlfn.XLOOKUP(Z141:AC141,$B$3:$B$6,$C$3:$C$6))</f>
        <v>0</v>
      </c>
      <c r="AF141">
        <f t="shared" si="15"/>
        <v>0</v>
      </c>
      <c r="AI141">
        <v>2</v>
      </c>
      <c r="AJ141">
        <v>4</v>
      </c>
      <c r="AK141">
        <v>2</v>
      </c>
      <c r="AL141">
        <v>4</v>
      </c>
      <c r="AM141">
        <v>5</v>
      </c>
      <c r="AN141">
        <f t="shared" si="16"/>
        <v>320</v>
      </c>
      <c r="AO141" cm="1">
        <f t="array" ref="AO141">PRODUCT(_xlfn.XLOOKUP(AI141:AM141,$B$3:$B$6,$C$3:$C$6))</f>
        <v>0</v>
      </c>
      <c r="AP141">
        <f t="shared" si="17"/>
        <v>0</v>
      </c>
    </row>
    <row r="142" spans="26:42" x14ac:dyDescent="0.2">
      <c r="Z142">
        <v>4</v>
      </c>
      <c r="AA142">
        <v>2</v>
      </c>
      <c r="AB142">
        <v>5</v>
      </c>
      <c r="AC142">
        <v>2</v>
      </c>
      <c r="AD142">
        <f t="shared" si="14"/>
        <v>80</v>
      </c>
      <c r="AE142" cm="1">
        <f t="array" ref="AE142">PRODUCT(_xlfn.XLOOKUP(Z142:AC142,$B$3:$B$6,$C$3:$C$6))</f>
        <v>0</v>
      </c>
      <c r="AF142">
        <f t="shared" si="15"/>
        <v>0</v>
      </c>
      <c r="AI142">
        <v>2</v>
      </c>
      <c r="AJ142">
        <v>4</v>
      </c>
      <c r="AK142">
        <v>2</v>
      </c>
      <c r="AL142">
        <v>5</v>
      </c>
      <c r="AM142">
        <v>2</v>
      </c>
      <c r="AN142">
        <f t="shared" si="16"/>
        <v>160</v>
      </c>
      <c r="AO142" cm="1">
        <f t="array" ref="AO142">PRODUCT(_xlfn.XLOOKUP(AI142:AM142,$B$3:$B$6,$C$3:$C$6))</f>
        <v>0</v>
      </c>
      <c r="AP142">
        <f t="shared" si="17"/>
        <v>0</v>
      </c>
    </row>
    <row r="143" spans="26:42" x14ac:dyDescent="0.2">
      <c r="Z143">
        <v>4</v>
      </c>
      <c r="AA143">
        <v>2</v>
      </c>
      <c r="AB143">
        <v>5</v>
      </c>
      <c r="AC143">
        <v>3</v>
      </c>
      <c r="AD143">
        <f t="shared" si="14"/>
        <v>120</v>
      </c>
      <c r="AE143" cm="1">
        <f t="array" ref="AE143">PRODUCT(_xlfn.XLOOKUP(Z143:AC143,$B$3:$B$6,$C$3:$C$6))</f>
        <v>0</v>
      </c>
      <c r="AF143">
        <f t="shared" si="15"/>
        <v>0</v>
      </c>
      <c r="AI143">
        <v>2</v>
      </c>
      <c r="AJ143">
        <v>4</v>
      </c>
      <c r="AK143">
        <v>2</v>
      </c>
      <c r="AL143">
        <v>5</v>
      </c>
      <c r="AM143">
        <v>3</v>
      </c>
      <c r="AN143">
        <f t="shared" si="16"/>
        <v>240</v>
      </c>
      <c r="AO143" cm="1">
        <f t="array" ref="AO143">PRODUCT(_xlfn.XLOOKUP(AI143:AM143,$B$3:$B$6,$C$3:$C$6))</f>
        <v>0</v>
      </c>
      <c r="AP143">
        <f t="shared" si="17"/>
        <v>0</v>
      </c>
    </row>
    <row r="144" spans="26:42" x14ac:dyDescent="0.2">
      <c r="Z144">
        <v>4</v>
      </c>
      <c r="AA144">
        <v>2</v>
      </c>
      <c r="AB144">
        <v>5</v>
      </c>
      <c r="AC144">
        <v>4</v>
      </c>
      <c r="AD144">
        <f t="shared" si="14"/>
        <v>160</v>
      </c>
      <c r="AE144" cm="1">
        <f t="array" ref="AE144">PRODUCT(_xlfn.XLOOKUP(Z144:AC144,$B$3:$B$6,$C$3:$C$6))</f>
        <v>0</v>
      </c>
      <c r="AF144">
        <f t="shared" si="15"/>
        <v>0</v>
      </c>
      <c r="AI144">
        <v>2</v>
      </c>
      <c r="AJ144">
        <v>4</v>
      </c>
      <c r="AK144">
        <v>2</v>
      </c>
      <c r="AL144">
        <v>5</v>
      </c>
      <c r="AM144">
        <v>4</v>
      </c>
      <c r="AN144">
        <f t="shared" si="16"/>
        <v>320</v>
      </c>
      <c r="AO144" cm="1">
        <f t="array" ref="AO144">PRODUCT(_xlfn.XLOOKUP(AI144:AM144,$B$3:$B$6,$C$3:$C$6))</f>
        <v>0</v>
      </c>
      <c r="AP144">
        <f t="shared" si="17"/>
        <v>0</v>
      </c>
    </row>
    <row r="145" spans="26:42" x14ac:dyDescent="0.2">
      <c r="Z145">
        <v>4</v>
      </c>
      <c r="AA145">
        <v>2</v>
      </c>
      <c r="AB145">
        <v>5</v>
      </c>
      <c r="AC145">
        <v>5</v>
      </c>
      <c r="AD145">
        <f t="shared" si="14"/>
        <v>200</v>
      </c>
      <c r="AE145" cm="1">
        <f t="array" ref="AE145">PRODUCT(_xlfn.XLOOKUP(Z145:AC145,$B$3:$B$6,$C$3:$C$6))</f>
        <v>0</v>
      </c>
      <c r="AF145">
        <f t="shared" si="15"/>
        <v>0</v>
      </c>
      <c r="AI145">
        <v>2</v>
      </c>
      <c r="AJ145">
        <v>4</v>
      </c>
      <c r="AK145">
        <v>2</v>
      </c>
      <c r="AL145">
        <v>5</v>
      </c>
      <c r="AM145">
        <v>5</v>
      </c>
      <c r="AN145">
        <f t="shared" si="16"/>
        <v>400</v>
      </c>
      <c r="AO145" cm="1">
        <f t="array" ref="AO145">PRODUCT(_xlfn.XLOOKUP(AI145:AM145,$B$3:$B$6,$C$3:$C$6))</f>
        <v>0</v>
      </c>
      <c r="AP145">
        <f t="shared" si="17"/>
        <v>0</v>
      </c>
    </row>
    <row r="146" spans="26:42" x14ac:dyDescent="0.2">
      <c r="Z146">
        <v>4</v>
      </c>
      <c r="AA146">
        <v>3</v>
      </c>
      <c r="AB146">
        <v>2</v>
      </c>
      <c r="AC146">
        <v>2</v>
      </c>
      <c r="AD146">
        <f t="shared" si="14"/>
        <v>48</v>
      </c>
      <c r="AE146" cm="1">
        <f t="array" ref="AE146">PRODUCT(_xlfn.XLOOKUP(Z146:AC146,$B$3:$B$6,$C$3:$C$6))</f>
        <v>0</v>
      </c>
      <c r="AF146">
        <f t="shared" si="15"/>
        <v>0</v>
      </c>
      <c r="AI146">
        <v>2</v>
      </c>
      <c r="AJ146">
        <v>4</v>
      </c>
      <c r="AK146">
        <v>3</v>
      </c>
      <c r="AL146">
        <v>2</v>
      </c>
      <c r="AM146">
        <v>2</v>
      </c>
      <c r="AN146">
        <f t="shared" si="16"/>
        <v>96</v>
      </c>
      <c r="AO146" cm="1">
        <f t="array" ref="AO146">PRODUCT(_xlfn.XLOOKUP(AI146:AM146,$B$3:$B$6,$C$3:$C$6))</f>
        <v>0</v>
      </c>
      <c r="AP146">
        <f t="shared" si="17"/>
        <v>0</v>
      </c>
    </row>
    <row r="147" spans="26:42" x14ac:dyDescent="0.2">
      <c r="Z147">
        <v>4</v>
      </c>
      <c r="AA147">
        <v>3</v>
      </c>
      <c r="AB147">
        <v>2</v>
      </c>
      <c r="AC147">
        <v>3</v>
      </c>
      <c r="AD147">
        <f t="shared" si="14"/>
        <v>72</v>
      </c>
      <c r="AE147" cm="1">
        <f t="array" ref="AE147">PRODUCT(_xlfn.XLOOKUP(Z147:AC147,$B$3:$B$6,$C$3:$C$6))</f>
        <v>0</v>
      </c>
      <c r="AF147">
        <f t="shared" si="15"/>
        <v>0</v>
      </c>
      <c r="AI147">
        <v>2</v>
      </c>
      <c r="AJ147">
        <v>4</v>
      </c>
      <c r="AK147">
        <v>3</v>
      </c>
      <c r="AL147">
        <v>2</v>
      </c>
      <c r="AM147">
        <v>3</v>
      </c>
      <c r="AN147">
        <f t="shared" si="16"/>
        <v>144</v>
      </c>
      <c r="AO147" cm="1">
        <f t="array" ref="AO147">PRODUCT(_xlfn.XLOOKUP(AI147:AM147,$B$3:$B$6,$C$3:$C$6))</f>
        <v>0</v>
      </c>
      <c r="AP147">
        <f t="shared" si="17"/>
        <v>0</v>
      </c>
    </row>
    <row r="148" spans="26:42" x14ac:dyDescent="0.2">
      <c r="Z148">
        <v>4</v>
      </c>
      <c r="AA148">
        <v>3</v>
      </c>
      <c r="AB148">
        <v>2</v>
      </c>
      <c r="AC148">
        <v>4</v>
      </c>
      <c r="AD148">
        <f t="shared" si="14"/>
        <v>96</v>
      </c>
      <c r="AE148" cm="1">
        <f t="array" ref="AE148">PRODUCT(_xlfn.XLOOKUP(Z148:AC148,$B$3:$B$6,$C$3:$C$6))</f>
        <v>0</v>
      </c>
      <c r="AF148">
        <f t="shared" si="15"/>
        <v>0</v>
      </c>
      <c r="AI148">
        <v>2</v>
      </c>
      <c r="AJ148">
        <v>4</v>
      </c>
      <c r="AK148">
        <v>3</v>
      </c>
      <c r="AL148">
        <v>2</v>
      </c>
      <c r="AM148">
        <v>4</v>
      </c>
      <c r="AN148">
        <f t="shared" si="16"/>
        <v>192</v>
      </c>
      <c r="AO148" cm="1">
        <f t="array" ref="AO148">PRODUCT(_xlfn.XLOOKUP(AI148:AM148,$B$3:$B$6,$C$3:$C$6))</f>
        <v>0</v>
      </c>
      <c r="AP148">
        <f t="shared" si="17"/>
        <v>0</v>
      </c>
    </row>
    <row r="149" spans="26:42" x14ac:dyDescent="0.2">
      <c r="Z149">
        <v>4</v>
      </c>
      <c r="AA149">
        <v>3</v>
      </c>
      <c r="AB149">
        <v>2</v>
      </c>
      <c r="AC149">
        <v>5</v>
      </c>
      <c r="AD149">
        <f t="shared" si="14"/>
        <v>120</v>
      </c>
      <c r="AE149" cm="1">
        <f t="array" ref="AE149">PRODUCT(_xlfn.XLOOKUP(Z149:AC149,$B$3:$B$6,$C$3:$C$6))</f>
        <v>0</v>
      </c>
      <c r="AF149">
        <f t="shared" si="15"/>
        <v>0</v>
      </c>
      <c r="AI149">
        <v>2</v>
      </c>
      <c r="AJ149">
        <v>4</v>
      </c>
      <c r="AK149">
        <v>3</v>
      </c>
      <c r="AL149">
        <v>2</v>
      </c>
      <c r="AM149">
        <v>5</v>
      </c>
      <c r="AN149">
        <f t="shared" si="16"/>
        <v>240</v>
      </c>
      <c r="AO149" cm="1">
        <f t="array" ref="AO149">PRODUCT(_xlfn.XLOOKUP(AI149:AM149,$B$3:$B$6,$C$3:$C$6))</f>
        <v>0</v>
      </c>
      <c r="AP149">
        <f t="shared" si="17"/>
        <v>0</v>
      </c>
    </row>
    <row r="150" spans="26:42" x14ac:dyDescent="0.2">
      <c r="Z150">
        <v>4</v>
      </c>
      <c r="AA150">
        <v>3</v>
      </c>
      <c r="AB150">
        <v>3</v>
      </c>
      <c r="AC150">
        <v>2</v>
      </c>
      <c r="AD150">
        <f t="shared" si="14"/>
        <v>72</v>
      </c>
      <c r="AE150" cm="1">
        <f t="array" ref="AE150">PRODUCT(_xlfn.XLOOKUP(Z150:AC150,$B$3:$B$6,$C$3:$C$6))</f>
        <v>0</v>
      </c>
      <c r="AF150">
        <f t="shared" si="15"/>
        <v>0</v>
      </c>
      <c r="AI150">
        <v>2</v>
      </c>
      <c r="AJ150">
        <v>4</v>
      </c>
      <c r="AK150">
        <v>3</v>
      </c>
      <c r="AL150">
        <v>3</v>
      </c>
      <c r="AM150">
        <v>2</v>
      </c>
      <c r="AN150">
        <f t="shared" si="16"/>
        <v>144</v>
      </c>
      <c r="AO150" cm="1">
        <f t="array" ref="AO150">PRODUCT(_xlfn.XLOOKUP(AI150:AM150,$B$3:$B$6,$C$3:$C$6))</f>
        <v>0</v>
      </c>
      <c r="AP150">
        <f t="shared" si="17"/>
        <v>0</v>
      </c>
    </row>
    <row r="151" spans="26:42" x14ac:dyDescent="0.2">
      <c r="Z151">
        <v>4</v>
      </c>
      <c r="AA151">
        <v>3</v>
      </c>
      <c r="AB151">
        <v>3</v>
      </c>
      <c r="AC151">
        <v>3</v>
      </c>
      <c r="AD151">
        <f t="shared" si="14"/>
        <v>108</v>
      </c>
      <c r="AE151" cm="1">
        <f t="array" ref="AE151">PRODUCT(_xlfn.XLOOKUP(Z151:AC151,$B$3:$B$6,$C$3:$C$6))</f>
        <v>0</v>
      </c>
      <c r="AF151">
        <f t="shared" si="15"/>
        <v>0</v>
      </c>
      <c r="AI151">
        <v>2</v>
      </c>
      <c r="AJ151">
        <v>4</v>
      </c>
      <c r="AK151">
        <v>3</v>
      </c>
      <c r="AL151">
        <v>3</v>
      </c>
      <c r="AM151">
        <v>3</v>
      </c>
      <c r="AN151">
        <f t="shared" si="16"/>
        <v>216</v>
      </c>
      <c r="AO151" cm="1">
        <f t="array" ref="AO151">PRODUCT(_xlfn.XLOOKUP(AI151:AM151,$B$3:$B$6,$C$3:$C$6))</f>
        <v>0</v>
      </c>
      <c r="AP151">
        <f t="shared" si="17"/>
        <v>0</v>
      </c>
    </row>
    <row r="152" spans="26:42" x14ac:dyDescent="0.2">
      <c r="Z152">
        <v>4</v>
      </c>
      <c r="AA152">
        <v>3</v>
      </c>
      <c r="AB152">
        <v>3</v>
      </c>
      <c r="AC152">
        <v>4</v>
      </c>
      <c r="AD152">
        <f t="shared" si="14"/>
        <v>144</v>
      </c>
      <c r="AE152" cm="1">
        <f t="array" ref="AE152">PRODUCT(_xlfn.XLOOKUP(Z152:AC152,$B$3:$B$6,$C$3:$C$6))</f>
        <v>0</v>
      </c>
      <c r="AF152">
        <f t="shared" si="15"/>
        <v>0</v>
      </c>
      <c r="AI152">
        <v>2</v>
      </c>
      <c r="AJ152">
        <v>4</v>
      </c>
      <c r="AK152">
        <v>3</v>
      </c>
      <c r="AL152">
        <v>3</v>
      </c>
      <c r="AM152">
        <v>4</v>
      </c>
      <c r="AN152">
        <f t="shared" si="16"/>
        <v>288</v>
      </c>
      <c r="AO152" cm="1">
        <f t="array" ref="AO152">PRODUCT(_xlfn.XLOOKUP(AI152:AM152,$B$3:$B$6,$C$3:$C$6))</f>
        <v>0</v>
      </c>
      <c r="AP152">
        <f t="shared" si="17"/>
        <v>0</v>
      </c>
    </row>
    <row r="153" spans="26:42" x14ac:dyDescent="0.2">
      <c r="Z153">
        <v>4</v>
      </c>
      <c r="AA153">
        <v>3</v>
      </c>
      <c r="AB153">
        <v>3</v>
      </c>
      <c r="AC153">
        <v>5</v>
      </c>
      <c r="AD153">
        <f t="shared" si="14"/>
        <v>180</v>
      </c>
      <c r="AE153" cm="1">
        <f t="array" ref="AE153">PRODUCT(_xlfn.XLOOKUP(Z153:AC153,$B$3:$B$6,$C$3:$C$6))</f>
        <v>0</v>
      </c>
      <c r="AF153">
        <f t="shared" si="15"/>
        <v>0</v>
      </c>
      <c r="AI153">
        <v>2</v>
      </c>
      <c r="AJ153">
        <v>4</v>
      </c>
      <c r="AK153">
        <v>3</v>
      </c>
      <c r="AL153">
        <v>3</v>
      </c>
      <c r="AM153">
        <v>5</v>
      </c>
      <c r="AN153">
        <f t="shared" si="16"/>
        <v>360</v>
      </c>
      <c r="AO153" cm="1">
        <f t="array" ref="AO153">PRODUCT(_xlfn.XLOOKUP(AI153:AM153,$B$3:$B$6,$C$3:$C$6))</f>
        <v>0</v>
      </c>
      <c r="AP153">
        <f t="shared" si="17"/>
        <v>0</v>
      </c>
    </row>
    <row r="154" spans="26:42" x14ac:dyDescent="0.2">
      <c r="Z154">
        <v>4</v>
      </c>
      <c r="AA154">
        <v>3</v>
      </c>
      <c r="AB154">
        <v>4</v>
      </c>
      <c r="AC154">
        <v>2</v>
      </c>
      <c r="AD154">
        <f t="shared" si="14"/>
        <v>96</v>
      </c>
      <c r="AE154" cm="1">
        <f t="array" ref="AE154">PRODUCT(_xlfn.XLOOKUP(Z154:AC154,$B$3:$B$6,$C$3:$C$6))</f>
        <v>0</v>
      </c>
      <c r="AF154">
        <f t="shared" si="15"/>
        <v>0</v>
      </c>
      <c r="AI154">
        <v>2</v>
      </c>
      <c r="AJ154">
        <v>4</v>
      </c>
      <c r="AK154">
        <v>3</v>
      </c>
      <c r="AL154">
        <v>4</v>
      </c>
      <c r="AM154">
        <v>2</v>
      </c>
      <c r="AN154">
        <f t="shared" si="16"/>
        <v>192</v>
      </c>
      <c r="AO154" cm="1">
        <f t="array" ref="AO154">PRODUCT(_xlfn.XLOOKUP(AI154:AM154,$B$3:$B$6,$C$3:$C$6))</f>
        <v>0</v>
      </c>
      <c r="AP154">
        <f t="shared" si="17"/>
        <v>0</v>
      </c>
    </row>
    <row r="155" spans="26:42" x14ac:dyDescent="0.2">
      <c r="Z155">
        <v>4</v>
      </c>
      <c r="AA155">
        <v>3</v>
      </c>
      <c r="AB155">
        <v>4</v>
      </c>
      <c r="AC155">
        <v>3</v>
      </c>
      <c r="AD155">
        <f t="shared" si="14"/>
        <v>144</v>
      </c>
      <c r="AE155" cm="1">
        <f t="array" ref="AE155">PRODUCT(_xlfn.XLOOKUP(Z155:AC155,$B$3:$B$6,$C$3:$C$6))</f>
        <v>0</v>
      </c>
      <c r="AF155">
        <f t="shared" si="15"/>
        <v>0</v>
      </c>
      <c r="AI155">
        <v>2</v>
      </c>
      <c r="AJ155">
        <v>4</v>
      </c>
      <c r="AK155">
        <v>3</v>
      </c>
      <c r="AL155">
        <v>4</v>
      </c>
      <c r="AM155">
        <v>3</v>
      </c>
      <c r="AN155">
        <f t="shared" si="16"/>
        <v>288</v>
      </c>
      <c r="AO155" cm="1">
        <f t="array" ref="AO155">PRODUCT(_xlfn.XLOOKUP(AI155:AM155,$B$3:$B$6,$C$3:$C$6))</f>
        <v>0</v>
      </c>
      <c r="AP155">
        <f t="shared" si="17"/>
        <v>0</v>
      </c>
    </row>
    <row r="156" spans="26:42" x14ac:dyDescent="0.2">
      <c r="Z156">
        <v>4</v>
      </c>
      <c r="AA156">
        <v>3</v>
      </c>
      <c r="AB156">
        <v>4</v>
      </c>
      <c r="AC156">
        <v>4</v>
      </c>
      <c r="AD156">
        <f t="shared" si="14"/>
        <v>192</v>
      </c>
      <c r="AE156" cm="1">
        <f t="array" ref="AE156">PRODUCT(_xlfn.XLOOKUP(Z156:AC156,$B$3:$B$6,$C$3:$C$6))</f>
        <v>0</v>
      </c>
      <c r="AF156">
        <f t="shared" si="15"/>
        <v>0</v>
      </c>
      <c r="AI156">
        <v>2</v>
      </c>
      <c r="AJ156">
        <v>4</v>
      </c>
      <c r="AK156">
        <v>3</v>
      </c>
      <c r="AL156">
        <v>4</v>
      </c>
      <c r="AM156">
        <v>4</v>
      </c>
      <c r="AN156">
        <f t="shared" si="16"/>
        <v>384</v>
      </c>
      <c r="AO156" cm="1">
        <f t="array" ref="AO156">PRODUCT(_xlfn.XLOOKUP(AI156:AM156,$B$3:$B$6,$C$3:$C$6))</f>
        <v>0</v>
      </c>
      <c r="AP156">
        <f t="shared" si="17"/>
        <v>0</v>
      </c>
    </row>
    <row r="157" spans="26:42" x14ac:dyDescent="0.2">
      <c r="Z157">
        <v>4</v>
      </c>
      <c r="AA157">
        <v>3</v>
      </c>
      <c r="AB157">
        <v>4</v>
      </c>
      <c r="AC157">
        <v>5</v>
      </c>
      <c r="AD157">
        <f t="shared" si="14"/>
        <v>240</v>
      </c>
      <c r="AE157" cm="1">
        <f t="array" ref="AE157">PRODUCT(_xlfn.XLOOKUP(Z157:AC157,$B$3:$B$6,$C$3:$C$6))</f>
        <v>0</v>
      </c>
      <c r="AF157">
        <f t="shared" si="15"/>
        <v>0</v>
      </c>
      <c r="AI157">
        <v>2</v>
      </c>
      <c r="AJ157">
        <v>4</v>
      </c>
      <c r="AK157">
        <v>3</v>
      </c>
      <c r="AL157">
        <v>4</v>
      </c>
      <c r="AM157">
        <v>5</v>
      </c>
      <c r="AN157">
        <f t="shared" si="16"/>
        <v>480</v>
      </c>
      <c r="AO157" cm="1">
        <f t="array" ref="AO157">PRODUCT(_xlfn.XLOOKUP(AI157:AM157,$B$3:$B$6,$C$3:$C$6))</f>
        <v>0</v>
      </c>
      <c r="AP157">
        <f t="shared" si="17"/>
        <v>0</v>
      </c>
    </row>
    <row r="158" spans="26:42" x14ac:dyDescent="0.2">
      <c r="Z158">
        <v>4</v>
      </c>
      <c r="AA158">
        <v>3</v>
      </c>
      <c r="AB158">
        <v>5</v>
      </c>
      <c r="AC158">
        <v>2</v>
      </c>
      <c r="AD158">
        <f t="shared" si="14"/>
        <v>120</v>
      </c>
      <c r="AE158" cm="1">
        <f t="array" ref="AE158">PRODUCT(_xlfn.XLOOKUP(Z158:AC158,$B$3:$B$6,$C$3:$C$6))</f>
        <v>0</v>
      </c>
      <c r="AF158">
        <f t="shared" si="15"/>
        <v>0</v>
      </c>
      <c r="AI158">
        <v>2</v>
      </c>
      <c r="AJ158">
        <v>4</v>
      </c>
      <c r="AK158">
        <v>3</v>
      </c>
      <c r="AL158">
        <v>5</v>
      </c>
      <c r="AM158">
        <v>2</v>
      </c>
      <c r="AN158">
        <f t="shared" si="16"/>
        <v>240</v>
      </c>
      <c r="AO158" cm="1">
        <f t="array" ref="AO158">PRODUCT(_xlfn.XLOOKUP(AI158:AM158,$B$3:$B$6,$C$3:$C$6))</f>
        <v>0</v>
      </c>
      <c r="AP158">
        <f t="shared" si="17"/>
        <v>0</v>
      </c>
    </row>
    <row r="159" spans="26:42" x14ac:dyDescent="0.2">
      <c r="Z159">
        <v>4</v>
      </c>
      <c r="AA159">
        <v>3</v>
      </c>
      <c r="AB159">
        <v>5</v>
      </c>
      <c r="AC159">
        <v>3</v>
      </c>
      <c r="AD159">
        <f t="shared" si="14"/>
        <v>180</v>
      </c>
      <c r="AE159" cm="1">
        <f t="array" ref="AE159">PRODUCT(_xlfn.XLOOKUP(Z159:AC159,$B$3:$B$6,$C$3:$C$6))</f>
        <v>0</v>
      </c>
      <c r="AF159">
        <f t="shared" si="15"/>
        <v>0</v>
      </c>
      <c r="AI159">
        <v>2</v>
      </c>
      <c r="AJ159">
        <v>4</v>
      </c>
      <c r="AK159">
        <v>3</v>
      </c>
      <c r="AL159">
        <v>5</v>
      </c>
      <c r="AM159">
        <v>3</v>
      </c>
      <c r="AN159">
        <f t="shared" si="16"/>
        <v>360</v>
      </c>
      <c r="AO159" cm="1">
        <f t="array" ref="AO159">PRODUCT(_xlfn.XLOOKUP(AI159:AM159,$B$3:$B$6,$C$3:$C$6))</f>
        <v>0</v>
      </c>
      <c r="AP159">
        <f t="shared" si="17"/>
        <v>0</v>
      </c>
    </row>
    <row r="160" spans="26:42" x14ac:dyDescent="0.2">
      <c r="Z160">
        <v>4</v>
      </c>
      <c r="AA160">
        <v>3</v>
      </c>
      <c r="AB160">
        <v>5</v>
      </c>
      <c r="AC160">
        <v>4</v>
      </c>
      <c r="AD160">
        <f t="shared" si="14"/>
        <v>240</v>
      </c>
      <c r="AE160" cm="1">
        <f t="array" ref="AE160">PRODUCT(_xlfn.XLOOKUP(Z160:AC160,$B$3:$B$6,$C$3:$C$6))</f>
        <v>0</v>
      </c>
      <c r="AF160">
        <f t="shared" si="15"/>
        <v>0</v>
      </c>
      <c r="AI160">
        <v>2</v>
      </c>
      <c r="AJ160">
        <v>4</v>
      </c>
      <c r="AK160">
        <v>3</v>
      </c>
      <c r="AL160">
        <v>5</v>
      </c>
      <c r="AM160">
        <v>4</v>
      </c>
      <c r="AN160">
        <f t="shared" si="16"/>
        <v>480</v>
      </c>
      <c r="AO160" cm="1">
        <f t="array" ref="AO160">PRODUCT(_xlfn.XLOOKUP(AI160:AM160,$B$3:$B$6,$C$3:$C$6))</f>
        <v>0</v>
      </c>
      <c r="AP160">
        <f t="shared" si="17"/>
        <v>0</v>
      </c>
    </row>
    <row r="161" spans="26:42" x14ac:dyDescent="0.2">
      <c r="Z161">
        <v>4</v>
      </c>
      <c r="AA161">
        <v>3</v>
      </c>
      <c r="AB161">
        <v>5</v>
      </c>
      <c r="AC161">
        <v>5</v>
      </c>
      <c r="AD161">
        <f t="shared" si="14"/>
        <v>300</v>
      </c>
      <c r="AE161" cm="1">
        <f t="array" ref="AE161">PRODUCT(_xlfn.XLOOKUP(Z161:AC161,$B$3:$B$6,$C$3:$C$6))</f>
        <v>0</v>
      </c>
      <c r="AF161">
        <f t="shared" si="15"/>
        <v>0</v>
      </c>
      <c r="AI161">
        <v>2</v>
      </c>
      <c r="AJ161">
        <v>4</v>
      </c>
      <c r="AK161">
        <v>3</v>
      </c>
      <c r="AL161">
        <v>5</v>
      </c>
      <c r="AM161">
        <v>5</v>
      </c>
      <c r="AN161">
        <f t="shared" si="16"/>
        <v>600</v>
      </c>
      <c r="AO161" cm="1">
        <f t="array" ref="AO161">PRODUCT(_xlfn.XLOOKUP(AI161:AM161,$B$3:$B$6,$C$3:$C$6))</f>
        <v>0</v>
      </c>
      <c r="AP161">
        <f t="shared" si="17"/>
        <v>0</v>
      </c>
    </row>
    <row r="162" spans="26:42" x14ac:dyDescent="0.2">
      <c r="Z162">
        <v>4</v>
      </c>
      <c r="AA162">
        <v>4</v>
      </c>
      <c r="AB162">
        <v>2</v>
      </c>
      <c r="AC162">
        <v>2</v>
      </c>
      <c r="AD162">
        <f t="shared" si="14"/>
        <v>64</v>
      </c>
      <c r="AE162" cm="1">
        <f t="array" ref="AE162">PRODUCT(_xlfn.XLOOKUP(Z162:AC162,$B$3:$B$6,$C$3:$C$6))</f>
        <v>0</v>
      </c>
      <c r="AF162">
        <f t="shared" si="15"/>
        <v>0</v>
      </c>
      <c r="AI162">
        <v>2</v>
      </c>
      <c r="AJ162">
        <v>4</v>
      </c>
      <c r="AK162">
        <v>4</v>
      </c>
      <c r="AL162">
        <v>2</v>
      </c>
      <c r="AM162">
        <v>2</v>
      </c>
      <c r="AN162">
        <f t="shared" si="16"/>
        <v>128</v>
      </c>
      <c r="AO162" cm="1">
        <f t="array" ref="AO162">PRODUCT(_xlfn.XLOOKUP(AI162:AM162,$B$3:$B$6,$C$3:$C$6))</f>
        <v>0</v>
      </c>
      <c r="AP162">
        <f t="shared" si="17"/>
        <v>0</v>
      </c>
    </row>
    <row r="163" spans="26:42" x14ac:dyDescent="0.2">
      <c r="Z163">
        <v>4</v>
      </c>
      <c r="AA163">
        <v>4</v>
      </c>
      <c r="AB163">
        <v>2</v>
      </c>
      <c r="AC163">
        <v>3</v>
      </c>
      <c r="AD163">
        <f t="shared" si="14"/>
        <v>96</v>
      </c>
      <c r="AE163" cm="1">
        <f t="array" ref="AE163">PRODUCT(_xlfn.XLOOKUP(Z163:AC163,$B$3:$B$6,$C$3:$C$6))</f>
        <v>0</v>
      </c>
      <c r="AF163">
        <f t="shared" si="15"/>
        <v>0</v>
      </c>
      <c r="AI163">
        <v>2</v>
      </c>
      <c r="AJ163">
        <v>4</v>
      </c>
      <c r="AK163">
        <v>4</v>
      </c>
      <c r="AL163">
        <v>2</v>
      </c>
      <c r="AM163">
        <v>3</v>
      </c>
      <c r="AN163">
        <f t="shared" si="16"/>
        <v>192</v>
      </c>
      <c r="AO163" cm="1">
        <f t="array" ref="AO163">PRODUCT(_xlfn.XLOOKUP(AI163:AM163,$B$3:$B$6,$C$3:$C$6))</f>
        <v>0</v>
      </c>
      <c r="AP163">
        <f t="shared" si="17"/>
        <v>0</v>
      </c>
    </row>
    <row r="164" spans="26:42" x14ac:dyDescent="0.2">
      <c r="Z164">
        <v>4</v>
      </c>
      <c r="AA164">
        <v>4</v>
      </c>
      <c r="AB164">
        <v>2</v>
      </c>
      <c r="AC164">
        <v>4</v>
      </c>
      <c r="AD164">
        <f t="shared" si="14"/>
        <v>128</v>
      </c>
      <c r="AE164" cm="1">
        <f t="array" ref="AE164">PRODUCT(_xlfn.XLOOKUP(Z164:AC164,$B$3:$B$6,$C$3:$C$6))</f>
        <v>0</v>
      </c>
      <c r="AF164">
        <f t="shared" si="15"/>
        <v>0</v>
      </c>
      <c r="AI164">
        <v>2</v>
      </c>
      <c r="AJ164">
        <v>4</v>
      </c>
      <c r="AK164">
        <v>4</v>
      </c>
      <c r="AL164">
        <v>2</v>
      </c>
      <c r="AM164">
        <v>4</v>
      </c>
      <c r="AN164">
        <f t="shared" si="16"/>
        <v>256</v>
      </c>
      <c r="AO164" cm="1">
        <f t="array" ref="AO164">PRODUCT(_xlfn.XLOOKUP(AI164:AM164,$B$3:$B$6,$C$3:$C$6))</f>
        <v>0</v>
      </c>
      <c r="AP164">
        <f t="shared" si="17"/>
        <v>0</v>
      </c>
    </row>
    <row r="165" spans="26:42" x14ac:dyDescent="0.2">
      <c r="Z165">
        <v>4</v>
      </c>
      <c r="AA165">
        <v>4</v>
      </c>
      <c r="AB165">
        <v>2</v>
      </c>
      <c r="AC165">
        <v>5</v>
      </c>
      <c r="AD165">
        <f t="shared" si="14"/>
        <v>160</v>
      </c>
      <c r="AE165" cm="1">
        <f t="array" ref="AE165">PRODUCT(_xlfn.XLOOKUP(Z165:AC165,$B$3:$B$6,$C$3:$C$6))</f>
        <v>0</v>
      </c>
      <c r="AF165">
        <f t="shared" si="15"/>
        <v>0</v>
      </c>
      <c r="AI165">
        <v>2</v>
      </c>
      <c r="AJ165">
        <v>4</v>
      </c>
      <c r="AK165">
        <v>4</v>
      </c>
      <c r="AL165">
        <v>2</v>
      </c>
      <c r="AM165">
        <v>5</v>
      </c>
      <c r="AN165">
        <f t="shared" si="16"/>
        <v>320</v>
      </c>
      <c r="AO165" cm="1">
        <f t="array" ref="AO165">PRODUCT(_xlfn.XLOOKUP(AI165:AM165,$B$3:$B$6,$C$3:$C$6))</f>
        <v>0</v>
      </c>
      <c r="AP165">
        <f t="shared" si="17"/>
        <v>0</v>
      </c>
    </row>
    <row r="166" spans="26:42" x14ac:dyDescent="0.2">
      <c r="Z166">
        <v>4</v>
      </c>
      <c r="AA166">
        <v>4</v>
      </c>
      <c r="AB166">
        <v>3</v>
      </c>
      <c r="AC166">
        <v>2</v>
      </c>
      <c r="AD166">
        <f t="shared" si="14"/>
        <v>96</v>
      </c>
      <c r="AE166" cm="1">
        <f t="array" ref="AE166">PRODUCT(_xlfn.XLOOKUP(Z166:AC166,$B$3:$B$6,$C$3:$C$6))</f>
        <v>0</v>
      </c>
      <c r="AF166">
        <f t="shared" si="15"/>
        <v>0</v>
      </c>
      <c r="AI166">
        <v>2</v>
      </c>
      <c r="AJ166">
        <v>4</v>
      </c>
      <c r="AK166">
        <v>4</v>
      </c>
      <c r="AL166">
        <v>3</v>
      </c>
      <c r="AM166">
        <v>2</v>
      </c>
      <c r="AN166">
        <f t="shared" si="16"/>
        <v>192</v>
      </c>
      <c r="AO166" cm="1">
        <f t="array" ref="AO166">PRODUCT(_xlfn.XLOOKUP(AI166:AM166,$B$3:$B$6,$C$3:$C$6))</f>
        <v>0</v>
      </c>
      <c r="AP166">
        <f t="shared" si="17"/>
        <v>0</v>
      </c>
    </row>
    <row r="167" spans="26:42" x14ac:dyDescent="0.2">
      <c r="Z167">
        <v>4</v>
      </c>
      <c r="AA167">
        <v>4</v>
      </c>
      <c r="AB167">
        <v>3</v>
      </c>
      <c r="AC167">
        <v>3</v>
      </c>
      <c r="AD167">
        <f t="shared" si="14"/>
        <v>144</v>
      </c>
      <c r="AE167" cm="1">
        <f t="array" ref="AE167">PRODUCT(_xlfn.XLOOKUP(Z167:AC167,$B$3:$B$6,$C$3:$C$6))</f>
        <v>0</v>
      </c>
      <c r="AF167">
        <f t="shared" si="15"/>
        <v>0</v>
      </c>
      <c r="AI167">
        <v>2</v>
      </c>
      <c r="AJ167">
        <v>4</v>
      </c>
      <c r="AK167">
        <v>4</v>
      </c>
      <c r="AL167">
        <v>3</v>
      </c>
      <c r="AM167">
        <v>3</v>
      </c>
      <c r="AN167">
        <f t="shared" si="16"/>
        <v>288</v>
      </c>
      <c r="AO167" cm="1">
        <f t="array" ref="AO167">PRODUCT(_xlfn.XLOOKUP(AI167:AM167,$B$3:$B$6,$C$3:$C$6))</f>
        <v>0</v>
      </c>
      <c r="AP167">
        <f t="shared" si="17"/>
        <v>0</v>
      </c>
    </row>
    <row r="168" spans="26:42" x14ac:dyDescent="0.2">
      <c r="Z168">
        <v>4</v>
      </c>
      <c r="AA168">
        <v>4</v>
      </c>
      <c r="AB168">
        <v>3</v>
      </c>
      <c r="AC168">
        <v>4</v>
      </c>
      <c r="AD168">
        <f t="shared" si="14"/>
        <v>192</v>
      </c>
      <c r="AE168" cm="1">
        <f t="array" ref="AE168">PRODUCT(_xlfn.XLOOKUP(Z168:AC168,$B$3:$B$6,$C$3:$C$6))</f>
        <v>0</v>
      </c>
      <c r="AF168">
        <f t="shared" si="15"/>
        <v>0</v>
      </c>
      <c r="AI168">
        <v>2</v>
      </c>
      <c r="AJ168">
        <v>4</v>
      </c>
      <c r="AK168">
        <v>4</v>
      </c>
      <c r="AL168">
        <v>3</v>
      </c>
      <c r="AM168">
        <v>4</v>
      </c>
      <c r="AN168">
        <f t="shared" si="16"/>
        <v>384</v>
      </c>
      <c r="AO168" cm="1">
        <f t="array" ref="AO168">PRODUCT(_xlfn.XLOOKUP(AI168:AM168,$B$3:$B$6,$C$3:$C$6))</f>
        <v>0</v>
      </c>
      <c r="AP168">
        <f t="shared" si="17"/>
        <v>0</v>
      </c>
    </row>
    <row r="169" spans="26:42" x14ac:dyDescent="0.2">
      <c r="Z169">
        <v>4</v>
      </c>
      <c r="AA169">
        <v>4</v>
      </c>
      <c r="AB169">
        <v>3</v>
      </c>
      <c r="AC169">
        <v>5</v>
      </c>
      <c r="AD169">
        <f t="shared" si="14"/>
        <v>240</v>
      </c>
      <c r="AE169" cm="1">
        <f t="array" ref="AE169">PRODUCT(_xlfn.XLOOKUP(Z169:AC169,$B$3:$B$6,$C$3:$C$6))</f>
        <v>0</v>
      </c>
      <c r="AF169">
        <f t="shared" si="15"/>
        <v>0</v>
      </c>
      <c r="AI169">
        <v>2</v>
      </c>
      <c r="AJ169">
        <v>4</v>
      </c>
      <c r="AK169">
        <v>4</v>
      </c>
      <c r="AL169">
        <v>3</v>
      </c>
      <c r="AM169">
        <v>5</v>
      </c>
      <c r="AN169">
        <f t="shared" si="16"/>
        <v>480</v>
      </c>
      <c r="AO169" cm="1">
        <f t="array" ref="AO169">PRODUCT(_xlfn.XLOOKUP(AI169:AM169,$B$3:$B$6,$C$3:$C$6))</f>
        <v>0</v>
      </c>
      <c r="AP169">
        <f t="shared" si="17"/>
        <v>0</v>
      </c>
    </row>
    <row r="170" spans="26:42" x14ac:dyDescent="0.2">
      <c r="Z170">
        <v>4</v>
      </c>
      <c r="AA170">
        <v>4</v>
      </c>
      <c r="AB170">
        <v>4</v>
      </c>
      <c r="AC170">
        <v>2</v>
      </c>
      <c r="AD170">
        <f t="shared" si="14"/>
        <v>128</v>
      </c>
      <c r="AE170" cm="1">
        <f t="array" ref="AE170">PRODUCT(_xlfn.XLOOKUP(Z170:AC170,$B$3:$B$6,$C$3:$C$6))</f>
        <v>0</v>
      </c>
      <c r="AF170">
        <f t="shared" si="15"/>
        <v>0</v>
      </c>
      <c r="AI170">
        <v>2</v>
      </c>
      <c r="AJ170">
        <v>4</v>
      </c>
      <c r="AK170">
        <v>4</v>
      </c>
      <c r="AL170">
        <v>4</v>
      </c>
      <c r="AM170">
        <v>2</v>
      </c>
      <c r="AN170">
        <f t="shared" si="16"/>
        <v>256</v>
      </c>
      <c r="AO170" cm="1">
        <f t="array" ref="AO170">PRODUCT(_xlfn.XLOOKUP(AI170:AM170,$B$3:$B$6,$C$3:$C$6))</f>
        <v>0</v>
      </c>
      <c r="AP170">
        <f t="shared" si="17"/>
        <v>0</v>
      </c>
    </row>
    <row r="171" spans="26:42" x14ac:dyDescent="0.2">
      <c r="Z171">
        <v>4</v>
      </c>
      <c r="AA171">
        <v>4</v>
      </c>
      <c r="AB171">
        <v>4</v>
      </c>
      <c r="AC171">
        <v>3</v>
      </c>
      <c r="AD171">
        <f t="shared" si="14"/>
        <v>192</v>
      </c>
      <c r="AE171" cm="1">
        <f t="array" ref="AE171">PRODUCT(_xlfn.XLOOKUP(Z171:AC171,$B$3:$B$6,$C$3:$C$6))</f>
        <v>0</v>
      </c>
      <c r="AF171">
        <f t="shared" si="15"/>
        <v>0</v>
      </c>
      <c r="AI171">
        <v>2</v>
      </c>
      <c r="AJ171">
        <v>4</v>
      </c>
      <c r="AK171">
        <v>4</v>
      </c>
      <c r="AL171">
        <v>4</v>
      </c>
      <c r="AM171">
        <v>3</v>
      </c>
      <c r="AN171">
        <f t="shared" si="16"/>
        <v>384</v>
      </c>
      <c r="AO171" cm="1">
        <f t="array" ref="AO171">PRODUCT(_xlfn.XLOOKUP(AI171:AM171,$B$3:$B$6,$C$3:$C$6))</f>
        <v>0</v>
      </c>
      <c r="AP171">
        <f t="shared" si="17"/>
        <v>0</v>
      </c>
    </row>
    <row r="172" spans="26:42" x14ac:dyDescent="0.2">
      <c r="Z172">
        <v>4</v>
      </c>
      <c r="AA172">
        <v>4</v>
      </c>
      <c r="AB172">
        <v>4</v>
      </c>
      <c r="AC172">
        <v>4</v>
      </c>
      <c r="AD172">
        <f t="shared" si="14"/>
        <v>256</v>
      </c>
      <c r="AE172" cm="1">
        <f t="array" ref="AE172">PRODUCT(_xlfn.XLOOKUP(Z172:AC172,$B$3:$B$6,$C$3:$C$6))</f>
        <v>0</v>
      </c>
      <c r="AF172">
        <f t="shared" si="15"/>
        <v>0</v>
      </c>
      <c r="AI172">
        <v>2</v>
      </c>
      <c r="AJ172">
        <v>4</v>
      </c>
      <c r="AK172">
        <v>4</v>
      </c>
      <c r="AL172">
        <v>4</v>
      </c>
      <c r="AM172">
        <v>4</v>
      </c>
      <c r="AN172">
        <f t="shared" si="16"/>
        <v>512</v>
      </c>
      <c r="AO172" cm="1">
        <f t="array" ref="AO172">PRODUCT(_xlfn.XLOOKUP(AI172:AM172,$B$3:$B$6,$C$3:$C$6))</f>
        <v>0</v>
      </c>
      <c r="AP172">
        <f t="shared" si="17"/>
        <v>0</v>
      </c>
    </row>
    <row r="173" spans="26:42" x14ac:dyDescent="0.2">
      <c r="Z173">
        <v>4</v>
      </c>
      <c r="AA173">
        <v>4</v>
      </c>
      <c r="AB173">
        <v>4</v>
      </c>
      <c r="AC173">
        <v>5</v>
      </c>
      <c r="AD173">
        <f t="shared" si="14"/>
        <v>320</v>
      </c>
      <c r="AE173" cm="1">
        <f t="array" ref="AE173">PRODUCT(_xlfn.XLOOKUP(Z173:AC173,$B$3:$B$6,$C$3:$C$6))</f>
        <v>0</v>
      </c>
      <c r="AF173">
        <f t="shared" si="15"/>
        <v>0</v>
      </c>
      <c r="AI173">
        <v>2</v>
      </c>
      <c r="AJ173">
        <v>4</v>
      </c>
      <c r="AK173">
        <v>4</v>
      </c>
      <c r="AL173">
        <v>4</v>
      </c>
      <c r="AM173">
        <v>5</v>
      </c>
      <c r="AN173">
        <f t="shared" si="16"/>
        <v>640</v>
      </c>
      <c r="AO173" cm="1">
        <f t="array" ref="AO173">PRODUCT(_xlfn.XLOOKUP(AI173:AM173,$B$3:$B$6,$C$3:$C$6))</f>
        <v>0</v>
      </c>
      <c r="AP173">
        <f t="shared" si="17"/>
        <v>0</v>
      </c>
    </row>
    <row r="174" spans="26:42" x14ac:dyDescent="0.2">
      <c r="Z174">
        <v>4</v>
      </c>
      <c r="AA174">
        <v>4</v>
      </c>
      <c r="AB174">
        <v>5</v>
      </c>
      <c r="AC174">
        <v>2</v>
      </c>
      <c r="AD174">
        <f t="shared" si="14"/>
        <v>160</v>
      </c>
      <c r="AE174" cm="1">
        <f t="array" ref="AE174">PRODUCT(_xlfn.XLOOKUP(Z174:AC174,$B$3:$B$6,$C$3:$C$6))</f>
        <v>0</v>
      </c>
      <c r="AF174">
        <f t="shared" si="15"/>
        <v>0</v>
      </c>
      <c r="AI174">
        <v>2</v>
      </c>
      <c r="AJ174">
        <v>4</v>
      </c>
      <c r="AK174">
        <v>4</v>
      </c>
      <c r="AL174">
        <v>5</v>
      </c>
      <c r="AM174">
        <v>2</v>
      </c>
      <c r="AN174">
        <f t="shared" si="16"/>
        <v>320</v>
      </c>
      <c r="AO174" cm="1">
        <f t="array" ref="AO174">PRODUCT(_xlfn.XLOOKUP(AI174:AM174,$B$3:$B$6,$C$3:$C$6))</f>
        <v>0</v>
      </c>
      <c r="AP174">
        <f t="shared" si="17"/>
        <v>0</v>
      </c>
    </row>
    <row r="175" spans="26:42" x14ac:dyDescent="0.2">
      <c r="Z175">
        <v>4</v>
      </c>
      <c r="AA175">
        <v>4</v>
      </c>
      <c r="AB175">
        <v>5</v>
      </c>
      <c r="AC175">
        <v>3</v>
      </c>
      <c r="AD175">
        <f t="shared" si="14"/>
        <v>240</v>
      </c>
      <c r="AE175" cm="1">
        <f t="array" ref="AE175">PRODUCT(_xlfn.XLOOKUP(Z175:AC175,$B$3:$B$6,$C$3:$C$6))</f>
        <v>0</v>
      </c>
      <c r="AF175">
        <f t="shared" si="15"/>
        <v>0</v>
      </c>
      <c r="AI175">
        <v>2</v>
      </c>
      <c r="AJ175">
        <v>4</v>
      </c>
      <c r="AK175">
        <v>4</v>
      </c>
      <c r="AL175">
        <v>5</v>
      </c>
      <c r="AM175">
        <v>3</v>
      </c>
      <c r="AN175">
        <f t="shared" si="16"/>
        <v>480</v>
      </c>
      <c r="AO175" cm="1">
        <f t="array" ref="AO175">PRODUCT(_xlfn.XLOOKUP(AI175:AM175,$B$3:$B$6,$C$3:$C$6))</f>
        <v>0</v>
      </c>
      <c r="AP175">
        <f t="shared" si="17"/>
        <v>0</v>
      </c>
    </row>
    <row r="176" spans="26:42" x14ac:dyDescent="0.2">
      <c r="Z176">
        <v>4</v>
      </c>
      <c r="AA176">
        <v>4</v>
      </c>
      <c r="AB176">
        <v>5</v>
      </c>
      <c r="AC176">
        <v>4</v>
      </c>
      <c r="AD176">
        <f t="shared" si="14"/>
        <v>320</v>
      </c>
      <c r="AE176" cm="1">
        <f t="array" ref="AE176">PRODUCT(_xlfn.XLOOKUP(Z176:AC176,$B$3:$B$6,$C$3:$C$6))</f>
        <v>0</v>
      </c>
      <c r="AF176">
        <f t="shared" si="15"/>
        <v>0</v>
      </c>
      <c r="AI176">
        <v>2</v>
      </c>
      <c r="AJ176">
        <v>4</v>
      </c>
      <c r="AK176">
        <v>4</v>
      </c>
      <c r="AL176">
        <v>5</v>
      </c>
      <c r="AM176">
        <v>4</v>
      </c>
      <c r="AN176">
        <f t="shared" si="16"/>
        <v>640</v>
      </c>
      <c r="AO176" cm="1">
        <f t="array" ref="AO176">PRODUCT(_xlfn.XLOOKUP(AI176:AM176,$B$3:$B$6,$C$3:$C$6))</f>
        <v>0</v>
      </c>
      <c r="AP176">
        <f t="shared" si="17"/>
        <v>0</v>
      </c>
    </row>
    <row r="177" spans="26:42" x14ac:dyDescent="0.2">
      <c r="Z177">
        <v>4</v>
      </c>
      <c r="AA177">
        <v>4</v>
      </c>
      <c r="AB177">
        <v>5</v>
      </c>
      <c r="AC177">
        <v>5</v>
      </c>
      <c r="AD177">
        <f t="shared" si="14"/>
        <v>400</v>
      </c>
      <c r="AE177" cm="1">
        <f t="array" ref="AE177">PRODUCT(_xlfn.XLOOKUP(Z177:AC177,$B$3:$B$6,$C$3:$C$6))</f>
        <v>0</v>
      </c>
      <c r="AF177">
        <f t="shared" si="15"/>
        <v>0</v>
      </c>
      <c r="AI177">
        <v>2</v>
      </c>
      <c r="AJ177">
        <v>4</v>
      </c>
      <c r="AK177">
        <v>4</v>
      </c>
      <c r="AL177">
        <v>5</v>
      </c>
      <c r="AM177">
        <v>5</v>
      </c>
      <c r="AN177">
        <f t="shared" si="16"/>
        <v>800</v>
      </c>
      <c r="AO177" cm="1">
        <f t="array" ref="AO177">PRODUCT(_xlfn.XLOOKUP(AI177:AM177,$B$3:$B$6,$C$3:$C$6))</f>
        <v>0</v>
      </c>
      <c r="AP177">
        <f t="shared" si="17"/>
        <v>0</v>
      </c>
    </row>
    <row r="178" spans="26:42" x14ac:dyDescent="0.2">
      <c r="Z178">
        <v>4</v>
      </c>
      <c r="AA178">
        <v>5</v>
      </c>
      <c r="AB178">
        <v>2</v>
      </c>
      <c r="AC178">
        <v>2</v>
      </c>
      <c r="AD178">
        <f t="shared" si="14"/>
        <v>80</v>
      </c>
      <c r="AE178" cm="1">
        <f t="array" ref="AE178">PRODUCT(_xlfn.XLOOKUP(Z178:AC178,$B$3:$B$6,$C$3:$C$6))</f>
        <v>0</v>
      </c>
      <c r="AF178">
        <f t="shared" si="15"/>
        <v>0</v>
      </c>
      <c r="AI178">
        <v>2</v>
      </c>
      <c r="AJ178">
        <v>4</v>
      </c>
      <c r="AK178">
        <v>5</v>
      </c>
      <c r="AL178">
        <v>2</v>
      </c>
      <c r="AM178">
        <v>2</v>
      </c>
      <c r="AN178">
        <f t="shared" si="16"/>
        <v>160</v>
      </c>
      <c r="AO178" cm="1">
        <f t="array" ref="AO178">PRODUCT(_xlfn.XLOOKUP(AI178:AM178,$B$3:$B$6,$C$3:$C$6))</f>
        <v>0</v>
      </c>
      <c r="AP178">
        <f t="shared" si="17"/>
        <v>0</v>
      </c>
    </row>
    <row r="179" spans="26:42" x14ac:dyDescent="0.2">
      <c r="Z179">
        <v>4</v>
      </c>
      <c r="AA179">
        <v>5</v>
      </c>
      <c r="AB179">
        <v>2</v>
      </c>
      <c r="AC179">
        <v>3</v>
      </c>
      <c r="AD179">
        <f t="shared" si="14"/>
        <v>120</v>
      </c>
      <c r="AE179" cm="1">
        <f t="array" ref="AE179">PRODUCT(_xlfn.XLOOKUP(Z179:AC179,$B$3:$B$6,$C$3:$C$6))</f>
        <v>0</v>
      </c>
      <c r="AF179">
        <f t="shared" si="15"/>
        <v>0</v>
      </c>
      <c r="AI179">
        <v>2</v>
      </c>
      <c r="AJ179">
        <v>4</v>
      </c>
      <c r="AK179">
        <v>5</v>
      </c>
      <c r="AL179">
        <v>2</v>
      </c>
      <c r="AM179">
        <v>3</v>
      </c>
      <c r="AN179">
        <f t="shared" si="16"/>
        <v>240</v>
      </c>
      <c r="AO179" cm="1">
        <f t="array" ref="AO179">PRODUCT(_xlfn.XLOOKUP(AI179:AM179,$B$3:$B$6,$C$3:$C$6))</f>
        <v>0</v>
      </c>
      <c r="AP179">
        <f t="shared" si="17"/>
        <v>0</v>
      </c>
    </row>
    <row r="180" spans="26:42" x14ac:dyDescent="0.2">
      <c r="Z180">
        <v>4</v>
      </c>
      <c r="AA180">
        <v>5</v>
      </c>
      <c r="AB180">
        <v>2</v>
      </c>
      <c r="AC180">
        <v>4</v>
      </c>
      <c r="AD180">
        <f t="shared" si="14"/>
        <v>160</v>
      </c>
      <c r="AE180" cm="1">
        <f t="array" ref="AE180">PRODUCT(_xlfn.XLOOKUP(Z180:AC180,$B$3:$B$6,$C$3:$C$6))</f>
        <v>0</v>
      </c>
      <c r="AF180">
        <f t="shared" si="15"/>
        <v>0</v>
      </c>
      <c r="AI180">
        <v>2</v>
      </c>
      <c r="AJ180">
        <v>4</v>
      </c>
      <c r="AK180">
        <v>5</v>
      </c>
      <c r="AL180">
        <v>2</v>
      </c>
      <c r="AM180">
        <v>4</v>
      </c>
      <c r="AN180">
        <f t="shared" si="16"/>
        <v>320</v>
      </c>
      <c r="AO180" cm="1">
        <f t="array" ref="AO180">PRODUCT(_xlfn.XLOOKUP(AI180:AM180,$B$3:$B$6,$C$3:$C$6))</f>
        <v>0</v>
      </c>
      <c r="AP180">
        <f t="shared" si="17"/>
        <v>0</v>
      </c>
    </row>
    <row r="181" spans="26:42" x14ac:dyDescent="0.2">
      <c r="Z181">
        <v>4</v>
      </c>
      <c r="AA181">
        <v>5</v>
      </c>
      <c r="AB181">
        <v>2</v>
      </c>
      <c r="AC181">
        <v>5</v>
      </c>
      <c r="AD181">
        <f t="shared" si="14"/>
        <v>200</v>
      </c>
      <c r="AE181" cm="1">
        <f t="array" ref="AE181">PRODUCT(_xlfn.XLOOKUP(Z181:AC181,$B$3:$B$6,$C$3:$C$6))</f>
        <v>0</v>
      </c>
      <c r="AF181">
        <f t="shared" si="15"/>
        <v>0</v>
      </c>
      <c r="AI181">
        <v>2</v>
      </c>
      <c r="AJ181">
        <v>4</v>
      </c>
      <c r="AK181">
        <v>5</v>
      </c>
      <c r="AL181">
        <v>2</v>
      </c>
      <c r="AM181">
        <v>5</v>
      </c>
      <c r="AN181">
        <f t="shared" si="16"/>
        <v>400</v>
      </c>
      <c r="AO181" cm="1">
        <f t="array" ref="AO181">PRODUCT(_xlfn.XLOOKUP(AI181:AM181,$B$3:$B$6,$C$3:$C$6))</f>
        <v>0</v>
      </c>
      <c r="AP181">
        <f t="shared" si="17"/>
        <v>0</v>
      </c>
    </row>
    <row r="182" spans="26:42" x14ac:dyDescent="0.2">
      <c r="Z182">
        <v>4</v>
      </c>
      <c r="AA182">
        <v>5</v>
      </c>
      <c r="AB182">
        <v>3</v>
      </c>
      <c r="AC182">
        <v>2</v>
      </c>
      <c r="AD182">
        <f t="shared" si="14"/>
        <v>120</v>
      </c>
      <c r="AE182" cm="1">
        <f t="array" ref="AE182">PRODUCT(_xlfn.XLOOKUP(Z182:AC182,$B$3:$B$6,$C$3:$C$6))</f>
        <v>0</v>
      </c>
      <c r="AF182">
        <f t="shared" si="15"/>
        <v>0</v>
      </c>
      <c r="AI182">
        <v>2</v>
      </c>
      <c r="AJ182">
        <v>4</v>
      </c>
      <c r="AK182">
        <v>5</v>
      </c>
      <c r="AL182">
        <v>3</v>
      </c>
      <c r="AM182">
        <v>2</v>
      </c>
      <c r="AN182">
        <f t="shared" si="16"/>
        <v>240</v>
      </c>
      <c r="AO182" cm="1">
        <f t="array" ref="AO182">PRODUCT(_xlfn.XLOOKUP(AI182:AM182,$B$3:$B$6,$C$3:$C$6))</f>
        <v>0</v>
      </c>
      <c r="AP182">
        <f t="shared" si="17"/>
        <v>0</v>
      </c>
    </row>
    <row r="183" spans="26:42" x14ac:dyDescent="0.2">
      <c r="Z183">
        <v>4</v>
      </c>
      <c r="AA183">
        <v>5</v>
      </c>
      <c r="AB183">
        <v>3</v>
      </c>
      <c r="AC183">
        <v>3</v>
      </c>
      <c r="AD183">
        <f t="shared" si="14"/>
        <v>180</v>
      </c>
      <c r="AE183" cm="1">
        <f t="array" ref="AE183">PRODUCT(_xlfn.XLOOKUP(Z183:AC183,$B$3:$B$6,$C$3:$C$6))</f>
        <v>0</v>
      </c>
      <c r="AF183">
        <f t="shared" si="15"/>
        <v>0</v>
      </c>
      <c r="AI183">
        <v>2</v>
      </c>
      <c r="AJ183">
        <v>4</v>
      </c>
      <c r="AK183">
        <v>5</v>
      </c>
      <c r="AL183">
        <v>3</v>
      </c>
      <c r="AM183">
        <v>3</v>
      </c>
      <c r="AN183">
        <f t="shared" si="16"/>
        <v>360</v>
      </c>
      <c r="AO183" cm="1">
        <f t="array" ref="AO183">PRODUCT(_xlfn.XLOOKUP(AI183:AM183,$B$3:$B$6,$C$3:$C$6))</f>
        <v>0</v>
      </c>
      <c r="AP183">
        <f t="shared" si="17"/>
        <v>0</v>
      </c>
    </row>
    <row r="184" spans="26:42" x14ac:dyDescent="0.2">
      <c r="Z184">
        <v>4</v>
      </c>
      <c r="AA184">
        <v>5</v>
      </c>
      <c r="AB184">
        <v>3</v>
      </c>
      <c r="AC184">
        <v>4</v>
      </c>
      <c r="AD184">
        <f t="shared" si="14"/>
        <v>240</v>
      </c>
      <c r="AE184" cm="1">
        <f t="array" ref="AE184">PRODUCT(_xlfn.XLOOKUP(Z184:AC184,$B$3:$B$6,$C$3:$C$6))</f>
        <v>0</v>
      </c>
      <c r="AF184">
        <f t="shared" si="15"/>
        <v>0</v>
      </c>
      <c r="AI184">
        <v>2</v>
      </c>
      <c r="AJ184">
        <v>4</v>
      </c>
      <c r="AK184">
        <v>5</v>
      </c>
      <c r="AL184">
        <v>3</v>
      </c>
      <c r="AM184">
        <v>4</v>
      </c>
      <c r="AN184">
        <f t="shared" si="16"/>
        <v>480</v>
      </c>
      <c r="AO184" cm="1">
        <f t="array" ref="AO184">PRODUCT(_xlfn.XLOOKUP(AI184:AM184,$B$3:$B$6,$C$3:$C$6))</f>
        <v>0</v>
      </c>
      <c r="AP184">
        <f t="shared" si="17"/>
        <v>0</v>
      </c>
    </row>
    <row r="185" spans="26:42" x14ac:dyDescent="0.2">
      <c r="Z185">
        <v>4</v>
      </c>
      <c r="AA185">
        <v>5</v>
      </c>
      <c r="AB185">
        <v>3</v>
      </c>
      <c r="AC185">
        <v>5</v>
      </c>
      <c r="AD185">
        <f t="shared" si="14"/>
        <v>300</v>
      </c>
      <c r="AE185" cm="1">
        <f t="array" ref="AE185">PRODUCT(_xlfn.XLOOKUP(Z185:AC185,$B$3:$B$6,$C$3:$C$6))</f>
        <v>0</v>
      </c>
      <c r="AF185">
        <f t="shared" si="15"/>
        <v>0</v>
      </c>
      <c r="AI185">
        <v>2</v>
      </c>
      <c r="AJ185">
        <v>4</v>
      </c>
      <c r="AK185">
        <v>5</v>
      </c>
      <c r="AL185">
        <v>3</v>
      </c>
      <c r="AM185">
        <v>5</v>
      </c>
      <c r="AN185">
        <f t="shared" si="16"/>
        <v>600</v>
      </c>
      <c r="AO185" cm="1">
        <f t="array" ref="AO185">PRODUCT(_xlfn.XLOOKUP(AI185:AM185,$B$3:$B$6,$C$3:$C$6))</f>
        <v>0</v>
      </c>
      <c r="AP185">
        <f t="shared" si="17"/>
        <v>0</v>
      </c>
    </row>
    <row r="186" spans="26:42" x14ac:dyDescent="0.2">
      <c r="Z186">
        <v>4</v>
      </c>
      <c r="AA186">
        <v>5</v>
      </c>
      <c r="AB186">
        <v>4</v>
      </c>
      <c r="AC186">
        <v>2</v>
      </c>
      <c r="AD186">
        <f t="shared" si="14"/>
        <v>160</v>
      </c>
      <c r="AE186" cm="1">
        <f t="array" ref="AE186">PRODUCT(_xlfn.XLOOKUP(Z186:AC186,$B$3:$B$6,$C$3:$C$6))</f>
        <v>0</v>
      </c>
      <c r="AF186">
        <f t="shared" si="15"/>
        <v>0</v>
      </c>
      <c r="AI186">
        <v>2</v>
      </c>
      <c r="AJ186">
        <v>4</v>
      </c>
      <c r="AK186">
        <v>5</v>
      </c>
      <c r="AL186">
        <v>4</v>
      </c>
      <c r="AM186">
        <v>2</v>
      </c>
      <c r="AN186">
        <f t="shared" si="16"/>
        <v>320</v>
      </c>
      <c r="AO186" cm="1">
        <f t="array" ref="AO186">PRODUCT(_xlfn.XLOOKUP(AI186:AM186,$B$3:$B$6,$C$3:$C$6))</f>
        <v>0</v>
      </c>
      <c r="AP186">
        <f t="shared" si="17"/>
        <v>0</v>
      </c>
    </row>
    <row r="187" spans="26:42" x14ac:dyDescent="0.2">
      <c r="Z187">
        <v>4</v>
      </c>
      <c r="AA187">
        <v>5</v>
      </c>
      <c r="AB187">
        <v>4</v>
      </c>
      <c r="AC187">
        <v>3</v>
      </c>
      <c r="AD187">
        <f t="shared" si="14"/>
        <v>240</v>
      </c>
      <c r="AE187" cm="1">
        <f t="array" ref="AE187">PRODUCT(_xlfn.XLOOKUP(Z187:AC187,$B$3:$B$6,$C$3:$C$6))</f>
        <v>0</v>
      </c>
      <c r="AF187">
        <f t="shared" si="15"/>
        <v>0</v>
      </c>
      <c r="AI187">
        <v>2</v>
      </c>
      <c r="AJ187">
        <v>4</v>
      </c>
      <c r="AK187">
        <v>5</v>
      </c>
      <c r="AL187">
        <v>4</v>
      </c>
      <c r="AM187">
        <v>3</v>
      </c>
      <c r="AN187">
        <f t="shared" si="16"/>
        <v>480</v>
      </c>
      <c r="AO187" cm="1">
        <f t="array" ref="AO187">PRODUCT(_xlfn.XLOOKUP(AI187:AM187,$B$3:$B$6,$C$3:$C$6))</f>
        <v>0</v>
      </c>
      <c r="AP187">
        <f t="shared" si="17"/>
        <v>0</v>
      </c>
    </row>
    <row r="188" spans="26:42" x14ac:dyDescent="0.2">
      <c r="Z188">
        <v>4</v>
      </c>
      <c r="AA188">
        <v>5</v>
      </c>
      <c r="AB188">
        <v>4</v>
      </c>
      <c r="AC188">
        <v>4</v>
      </c>
      <c r="AD188">
        <f t="shared" si="14"/>
        <v>320</v>
      </c>
      <c r="AE188" cm="1">
        <f t="array" ref="AE188">PRODUCT(_xlfn.XLOOKUP(Z188:AC188,$B$3:$B$6,$C$3:$C$6))</f>
        <v>0</v>
      </c>
      <c r="AF188">
        <f t="shared" si="15"/>
        <v>0</v>
      </c>
      <c r="AI188">
        <v>2</v>
      </c>
      <c r="AJ188">
        <v>4</v>
      </c>
      <c r="AK188">
        <v>5</v>
      </c>
      <c r="AL188">
        <v>4</v>
      </c>
      <c r="AM188">
        <v>4</v>
      </c>
      <c r="AN188">
        <f t="shared" si="16"/>
        <v>640</v>
      </c>
      <c r="AO188" cm="1">
        <f t="array" ref="AO188">PRODUCT(_xlfn.XLOOKUP(AI188:AM188,$B$3:$B$6,$C$3:$C$6))</f>
        <v>0</v>
      </c>
      <c r="AP188">
        <f t="shared" si="17"/>
        <v>0</v>
      </c>
    </row>
    <row r="189" spans="26:42" x14ac:dyDescent="0.2">
      <c r="Z189">
        <v>4</v>
      </c>
      <c r="AA189">
        <v>5</v>
      </c>
      <c r="AB189">
        <v>4</v>
      </c>
      <c r="AC189">
        <v>5</v>
      </c>
      <c r="AD189">
        <f t="shared" si="14"/>
        <v>400</v>
      </c>
      <c r="AE189" cm="1">
        <f t="array" ref="AE189">PRODUCT(_xlfn.XLOOKUP(Z189:AC189,$B$3:$B$6,$C$3:$C$6))</f>
        <v>0</v>
      </c>
      <c r="AF189">
        <f t="shared" si="15"/>
        <v>0</v>
      </c>
      <c r="AI189">
        <v>2</v>
      </c>
      <c r="AJ189">
        <v>4</v>
      </c>
      <c r="AK189">
        <v>5</v>
      </c>
      <c r="AL189">
        <v>4</v>
      </c>
      <c r="AM189">
        <v>5</v>
      </c>
      <c r="AN189">
        <f t="shared" si="16"/>
        <v>800</v>
      </c>
      <c r="AO189" cm="1">
        <f t="array" ref="AO189">PRODUCT(_xlfn.XLOOKUP(AI189:AM189,$B$3:$B$6,$C$3:$C$6))</f>
        <v>0</v>
      </c>
      <c r="AP189">
        <f t="shared" si="17"/>
        <v>0</v>
      </c>
    </row>
    <row r="190" spans="26:42" x14ac:dyDescent="0.2">
      <c r="Z190">
        <v>4</v>
      </c>
      <c r="AA190">
        <v>5</v>
      </c>
      <c r="AB190">
        <v>5</v>
      </c>
      <c r="AC190">
        <v>2</v>
      </c>
      <c r="AD190">
        <f t="shared" si="14"/>
        <v>200</v>
      </c>
      <c r="AE190" cm="1">
        <f t="array" ref="AE190">PRODUCT(_xlfn.XLOOKUP(Z190:AC190,$B$3:$B$6,$C$3:$C$6))</f>
        <v>0</v>
      </c>
      <c r="AF190">
        <f t="shared" si="15"/>
        <v>0</v>
      </c>
      <c r="AI190">
        <v>2</v>
      </c>
      <c r="AJ190">
        <v>4</v>
      </c>
      <c r="AK190">
        <v>5</v>
      </c>
      <c r="AL190">
        <v>5</v>
      </c>
      <c r="AM190">
        <v>2</v>
      </c>
      <c r="AN190">
        <f t="shared" si="16"/>
        <v>400</v>
      </c>
      <c r="AO190" cm="1">
        <f t="array" ref="AO190">PRODUCT(_xlfn.XLOOKUP(AI190:AM190,$B$3:$B$6,$C$3:$C$6))</f>
        <v>0</v>
      </c>
      <c r="AP190">
        <f t="shared" si="17"/>
        <v>0</v>
      </c>
    </row>
    <row r="191" spans="26:42" x14ac:dyDescent="0.2">
      <c r="Z191">
        <v>4</v>
      </c>
      <c r="AA191">
        <v>5</v>
      </c>
      <c r="AB191">
        <v>5</v>
      </c>
      <c r="AC191">
        <v>3</v>
      </c>
      <c r="AD191">
        <f t="shared" si="14"/>
        <v>300</v>
      </c>
      <c r="AE191" cm="1">
        <f t="array" ref="AE191">PRODUCT(_xlfn.XLOOKUP(Z191:AC191,$B$3:$B$6,$C$3:$C$6))</f>
        <v>0</v>
      </c>
      <c r="AF191">
        <f t="shared" si="15"/>
        <v>0</v>
      </c>
      <c r="AI191">
        <v>2</v>
      </c>
      <c r="AJ191">
        <v>4</v>
      </c>
      <c r="AK191">
        <v>5</v>
      </c>
      <c r="AL191">
        <v>5</v>
      </c>
      <c r="AM191">
        <v>3</v>
      </c>
      <c r="AN191">
        <f t="shared" si="16"/>
        <v>600</v>
      </c>
      <c r="AO191" cm="1">
        <f t="array" ref="AO191">PRODUCT(_xlfn.XLOOKUP(AI191:AM191,$B$3:$B$6,$C$3:$C$6))</f>
        <v>0</v>
      </c>
      <c r="AP191">
        <f t="shared" si="17"/>
        <v>0</v>
      </c>
    </row>
    <row r="192" spans="26:42" x14ac:dyDescent="0.2">
      <c r="Z192">
        <v>4</v>
      </c>
      <c r="AA192">
        <v>5</v>
      </c>
      <c r="AB192">
        <v>5</v>
      </c>
      <c r="AC192">
        <v>4</v>
      </c>
      <c r="AD192">
        <f t="shared" si="14"/>
        <v>400</v>
      </c>
      <c r="AE192" cm="1">
        <f t="array" ref="AE192">PRODUCT(_xlfn.XLOOKUP(Z192:AC192,$B$3:$B$6,$C$3:$C$6))</f>
        <v>0</v>
      </c>
      <c r="AF192">
        <f t="shared" si="15"/>
        <v>0</v>
      </c>
      <c r="AI192">
        <v>2</v>
      </c>
      <c r="AJ192">
        <v>4</v>
      </c>
      <c r="AK192">
        <v>5</v>
      </c>
      <c r="AL192">
        <v>5</v>
      </c>
      <c r="AM192">
        <v>4</v>
      </c>
      <c r="AN192">
        <f t="shared" si="16"/>
        <v>800</v>
      </c>
      <c r="AO192" cm="1">
        <f t="array" ref="AO192">PRODUCT(_xlfn.XLOOKUP(AI192:AM192,$B$3:$B$6,$C$3:$C$6))</f>
        <v>0</v>
      </c>
      <c r="AP192">
        <f t="shared" si="17"/>
        <v>0</v>
      </c>
    </row>
    <row r="193" spans="26:42" x14ac:dyDescent="0.2">
      <c r="Z193">
        <v>4</v>
      </c>
      <c r="AA193">
        <v>5</v>
      </c>
      <c r="AB193">
        <v>5</v>
      </c>
      <c r="AC193">
        <v>5</v>
      </c>
      <c r="AD193">
        <f t="shared" si="14"/>
        <v>500</v>
      </c>
      <c r="AE193" cm="1">
        <f t="array" ref="AE193">PRODUCT(_xlfn.XLOOKUP(Z193:AC193,$B$3:$B$6,$C$3:$C$6))</f>
        <v>0</v>
      </c>
      <c r="AF193">
        <f t="shared" si="15"/>
        <v>0</v>
      </c>
      <c r="AI193">
        <v>2</v>
      </c>
      <c r="AJ193">
        <v>4</v>
      </c>
      <c r="AK193">
        <v>5</v>
      </c>
      <c r="AL193">
        <v>5</v>
      </c>
      <c r="AM193">
        <v>5</v>
      </c>
      <c r="AN193">
        <f t="shared" si="16"/>
        <v>1000</v>
      </c>
      <c r="AO193" cm="1">
        <f t="array" ref="AO193">PRODUCT(_xlfn.XLOOKUP(AI193:AM193,$B$3:$B$6,$C$3:$C$6))</f>
        <v>0</v>
      </c>
      <c r="AP193">
        <f t="shared" si="17"/>
        <v>0</v>
      </c>
    </row>
    <row r="194" spans="26:42" x14ac:dyDescent="0.2">
      <c r="Z194">
        <v>5</v>
      </c>
      <c r="AA194">
        <v>2</v>
      </c>
      <c r="AB194">
        <v>2</v>
      </c>
      <c r="AC194">
        <v>2</v>
      </c>
      <c r="AD194">
        <f t="shared" si="14"/>
        <v>40</v>
      </c>
      <c r="AE194" cm="1">
        <f t="array" ref="AE194">PRODUCT(_xlfn.XLOOKUP(Z194:AC194,$B$3:$B$6,$C$3:$C$6))</f>
        <v>3.8879999999999998E-2</v>
      </c>
      <c r="AF194">
        <f t="shared" si="15"/>
        <v>1.5551999999999999</v>
      </c>
      <c r="AI194">
        <v>2</v>
      </c>
      <c r="AJ194">
        <v>5</v>
      </c>
      <c r="AK194">
        <v>2</v>
      </c>
      <c r="AL194">
        <v>2</v>
      </c>
      <c r="AM194">
        <v>2</v>
      </c>
      <c r="AN194">
        <f t="shared" si="16"/>
        <v>80</v>
      </c>
      <c r="AO194" cm="1">
        <f t="array" ref="AO194">PRODUCT(_xlfn.XLOOKUP(AI194:AM194,$B$3:$B$6,$C$3:$C$6))</f>
        <v>2.3327999999999998E-2</v>
      </c>
      <c r="AP194">
        <f t="shared" si="17"/>
        <v>1.8662399999999999</v>
      </c>
    </row>
    <row r="195" spans="26:42" x14ac:dyDescent="0.2">
      <c r="Z195">
        <v>5</v>
      </c>
      <c r="AA195">
        <v>2</v>
      </c>
      <c r="AB195">
        <v>2</v>
      </c>
      <c r="AC195">
        <v>3</v>
      </c>
      <c r="AD195">
        <f t="shared" ref="AD195:AD257" si="18">PRODUCT(Z195:AC195)</f>
        <v>60</v>
      </c>
      <c r="AE195" cm="1">
        <f t="array" ref="AE195">PRODUCT(_xlfn.XLOOKUP(Z195:AC195,$B$3:$B$6,$C$3:$C$6))</f>
        <v>1.4256E-2</v>
      </c>
      <c r="AF195">
        <f t="shared" ref="AF195:AF257" si="19">AD195*AE195</f>
        <v>0.85536000000000001</v>
      </c>
      <c r="AI195">
        <v>2</v>
      </c>
      <c r="AJ195">
        <v>5</v>
      </c>
      <c r="AK195">
        <v>2</v>
      </c>
      <c r="AL195">
        <v>2</v>
      </c>
      <c r="AM195">
        <v>3</v>
      </c>
      <c r="AN195">
        <f t="shared" ref="AN195:AN258" si="20">PRODUCT(AI195:AM195)</f>
        <v>120</v>
      </c>
      <c r="AO195" cm="1">
        <f t="array" ref="AO195">PRODUCT(_xlfn.XLOOKUP(AI195:AM195,$B$3:$B$6,$C$3:$C$6))</f>
        <v>8.5535999999999997E-3</v>
      </c>
      <c r="AP195">
        <f t="shared" ref="AP195:AP258" si="21">AN195*AO195</f>
        <v>1.026432</v>
      </c>
    </row>
    <row r="196" spans="26:42" x14ac:dyDescent="0.2">
      <c r="Z196">
        <v>5</v>
      </c>
      <c r="AA196">
        <v>2</v>
      </c>
      <c r="AB196">
        <v>2</v>
      </c>
      <c r="AC196">
        <v>4</v>
      </c>
      <c r="AD196">
        <f t="shared" si="18"/>
        <v>80</v>
      </c>
      <c r="AE196" cm="1">
        <f t="array" ref="AE196">PRODUCT(_xlfn.XLOOKUP(Z196:AC196,$B$3:$B$6,$C$3:$C$6))</f>
        <v>0</v>
      </c>
      <c r="AF196">
        <f t="shared" si="19"/>
        <v>0</v>
      </c>
      <c r="AI196">
        <v>2</v>
      </c>
      <c r="AJ196">
        <v>5</v>
      </c>
      <c r="AK196">
        <v>2</v>
      </c>
      <c r="AL196">
        <v>2</v>
      </c>
      <c r="AM196">
        <v>4</v>
      </c>
      <c r="AN196">
        <f t="shared" si="20"/>
        <v>160</v>
      </c>
      <c r="AO196" cm="1">
        <f t="array" ref="AO196">PRODUCT(_xlfn.XLOOKUP(AI196:AM196,$B$3:$B$6,$C$3:$C$6))</f>
        <v>0</v>
      </c>
      <c r="AP196">
        <f t="shared" si="21"/>
        <v>0</v>
      </c>
    </row>
    <row r="197" spans="26:42" x14ac:dyDescent="0.2">
      <c r="Z197">
        <v>5</v>
      </c>
      <c r="AA197">
        <v>2</v>
      </c>
      <c r="AB197">
        <v>2</v>
      </c>
      <c r="AC197">
        <v>5</v>
      </c>
      <c r="AD197">
        <f t="shared" si="18"/>
        <v>100</v>
      </c>
      <c r="AE197" cm="1">
        <f t="array" ref="AE197">PRODUCT(_xlfn.XLOOKUP(Z197:AC197,$B$3:$B$6,$C$3:$C$6))</f>
        <v>1.1663999999999999E-2</v>
      </c>
      <c r="AF197">
        <f t="shared" si="19"/>
        <v>1.1663999999999999</v>
      </c>
      <c r="AI197">
        <v>2</v>
      </c>
      <c r="AJ197">
        <v>5</v>
      </c>
      <c r="AK197">
        <v>2</v>
      </c>
      <c r="AL197">
        <v>2</v>
      </c>
      <c r="AM197">
        <v>5</v>
      </c>
      <c r="AN197">
        <f t="shared" si="20"/>
        <v>200</v>
      </c>
      <c r="AO197" cm="1">
        <f t="array" ref="AO197">PRODUCT(_xlfn.XLOOKUP(AI197:AM197,$B$3:$B$6,$C$3:$C$6))</f>
        <v>6.9983999999999992E-3</v>
      </c>
      <c r="AP197">
        <f t="shared" si="21"/>
        <v>1.3996799999999998</v>
      </c>
    </row>
    <row r="198" spans="26:42" x14ac:dyDescent="0.2">
      <c r="Z198">
        <v>5</v>
      </c>
      <c r="AA198">
        <v>2</v>
      </c>
      <c r="AB198">
        <v>3</v>
      </c>
      <c r="AC198">
        <v>2</v>
      </c>
      <c r="AD198">
        <f t="shared" si="18"/>
        <v>60</v>
      </c>
      <c r="AE198" cm="1">
        <f t="array" ref="AE198">PRODUCT(_xlfn.XLOOKUP(Z198:AC198,$B$3:$B$6,$C$3:$C$6))</f>
        <v>1.4256E-2</v>
      </c>
      <c r="AF198">
        <f t="shared" si="19"/>
        <v>0.85536000000000001</v>
      </c>
      <c r="AI198">
        <v>2</v>
      </c>
      <c r="AJ198">
        <v>5</v>
      </c>
      <c r="AK198">
        <v>2</v>
      </c>
      <c r="AL198">
        <v>3</v>
      </c>
      <c r="AM198">
        <v>2</v>
      </c>
      <c r="AN198">
        <f t="shared" si="20"/>
        <v>120</v>
      </c>
      <c r="AO198" cm="1">
        <f t="array" ref="AO198">PRODUCT(_xlfn.XLOOKUP(AI198:AM198,$B$3:$B$6,$C$3:$C$6))</f>
        <v>8.5535999999999997E-3</v>
      </c>
      <c r="AP198">
        <f t="shared" si="21"/>
        <v>1.026432</v>
      </c>
    </row>
    <row r="199" spans="26:42" x14ac:dyDescent="0.2">
      <c r="Z199">
        <v>5</v>
      </c>
      <c r="AA199">
        <v>2</v>
      </c>
      <c r="AB199">
        <v>3</v>
      </c>
      <c r="AC199">
        <v>3</v>
      </c>
      <c r="AD199">
        <f t="shared" si="18"/>
        <v>90</v>
      </c>
      <c r="AE199" cm="1">
        <f t="array" ref="AE199">PRODUCT(_xlfn.XLOOKUP(Z199:AC199,$B$3:$B$6,$C$3:$C$6))</f>
        <v>5.2272000000000004E-3</v>
      </c>
      <c r="AF199">
        <f t="shared" si="19"/>
        <v>0.47044800000000003</v>
      </c>
      <c r="AI199">
        <v>2</v>
      </c>
      <c r="AJ199">
        <v>5</v>
      </c>
      <c r="AK199">
        <v>2</v>
      </c>
      <c r="AL199">
        <v>3</v>
      </c>
      <c r="AM199">
        <v>3</v>
      </c>
      <c r="AN199">
        <f t="shared" si="20"/>
        <v>180</v>
      </c>
      <c r="AO199" cm="1">
        <f t="array" ref="AO199">PRODUCT(_xlfn.XLOOKUP(AI199:AM199,$B$3:$B$6,$C$3:$C$6))</f>
        <v>3.1363199999999997E-3</v>
      </c>
      <c r="AP199">
        <f t="shared" si="21"/>
        <v>0.56453759999999997</v>
      </c>
    </row>
    <row r="200" spans="26:42" x14ac:dyDescent="0.2">
      <c r="Z200">
        <v>5</v>
      </c>
      <c r="AA200">
        <v>2</v>
      </c>
      <c r="AB200">
        <v>3</v>
      </c>
      <c r="AC200">
        <v>4</v>
      </c>
      <c r="AD200">
        <f t="shared" si="18"/>
        <v>120</v>
      </c>
      <c r="AE200" cm="1">
        <f t="array" ref="AE200">PRODUCT(_xlfn.XLOOKUP(Z200:AC200,$B$3:$B$6,$C$3:$C$6))</f>
        <v>0</v>
      </c>
      <c r="AF200">
        <f t="shared" si="19"/>
        <v>0</v>
      </c>
      <c r="AI200">
        <v>2</v>
      </c>
      <c r="AJ200">
        <v>5</v>
      </c>
      <c r="AK200">
        <v>2</v>
      </c>
      <c r="AL200">
        <v>3</v>
      </c>
      <c r="AM200">
        <v>4</v>
      </c>
      <c r="AN200">
        <f t="shared" si="20"/>
        <v>240</v>
      </c>
      <c r="AO200" cm="1">
        <f t="array" ref="AO200">PRODUCT(_xlfn.XLOOKUP(AI200:AM200,$B$3:$B$6,$C$3:$C$6))</f>
        <v>0</v>
      </c>
      <c r="AP200">
        <f t="shared" si="21"/>
        <v>0</v>
      </c>
    </row>
    <row r="201" spans="26:42" x14ac:dyDescent="0.2">
      <c r="Z201">
        <v>5</v>
      </c>
      <c r="AA201">
        <v>2</v>
      </c>
      <c r="AB201">
        <v>3</v>
      </c>
      <c r="AC201">
        <v>5</v>
      </c>
      <c r="AD201">
        <f t="shared" si="18"/>
        <v>150</v>
      </c>
      <c r="AE201" cm="1">
        <f t="array" ref="AE201">PRODUCT(_xlfn.XLOOKUP(Z201:AC201,$B$3:$B$6,$C$3:$C$6))</f>
        <v>4.2767999999999999E-3</v>
      </c>
      <c r="AF201">
        <f t="shared" si="19"/>
        <v>0.64151999999999998</v>
      </c>
      <c r="AI201">
        <v>2</v>
      </c>
      <c r="AJ201">
        <v>5</v>
      </c>
      <c r="AK201">
        <v>2</v>
      </c>
      <c r="AL201">
        <v>3</v>
      </c>
      <c r="AM201">
        <v>5</v>
      </c>
      <c r="AN201">
        <f t="shared" si="20"/>
        <v>300</v>
      </c>
      <c r="AO201" cm="1">
        <f t="array" ref="AO201">PRODUCT(_xlfn.XLOOKUP(AI201:AM201,$B$3:$B$6,$C$3:$C$6))</f>
        <v>2.5660799999999997E-3</v>
      </c>
      <c r="AP201">
        <f t="shared" si="21"/>
        <v>0.76982399999999995</v>
      </c>
    </row>
    <row r="202" spans="26:42" x14ac:dyDescent="0.2">
      <c r="Z202">
        <v>5</v>
      </c>
      <c r="AA202">
        <v>2</v>
      </c>
      <c r="AB202">
        <v>4</v>
      </c>
      <c r="AC202">
        <v>2</v>
      </c>
      <c r="AD202">
        <f t="shared" si="18"/>
        <v>80</v>
      </c>
      <c r="AE202" cm="1">
        <f t="array" ref="AE202">PRODUCT(_xlfn.XLOOKUP(Z202:AC202,$B$3:$B$6,$C$3:$C$6))</f>
        <v>0</v>
      </c>
      <c r="AF202">
        <f t="shared" si="19"/>
        <v>0</v>
      </c>
      <c r="AI202">
        <v>2</v>
      </c>
      <c r="AJ202">
        <v>5</v>
      </c>
      <c r="AK202">
        <v>2</v>
      </c>
      <c r="AL202">
        <v>4</v>
      </c>
      <c r="AM202">
        <v>2</v>
      </c>
      <c r="AN202">
        <f t="shared" si="20"/>
        <v>160</v>
      </c>
      <c r="AO202" cm="1">
        <f t="array" ref="AO202">PRODUCT(_xlfn.XLOOKUP(AI202:AM202,$B$3:$B$6,$C$3:$C$6))</f>
        <v>0</v>
      </c>
      <c r="AP202">
        <f t="shared" si="21"/>
        <v>0</v>
      </c>
    </row>
    <row r="203" spans="26:42" x14ac:dyDescent="0.2">
      <c r="Z203">
        <v>5</v>
      </c>
      <c r="AA203">
        <v>2</v>
      </c>
      <c r="AB203">
        <v>4</v>
      </c>
      <c r="AC203">
        <v>3</v>
      </c>
      <c r="AD203">
        <f t="shared" si="18"/>
        <v>120</v>
      </c>
      <c r="AE203" cm="1">
        <f t="array" ref="AE203">PRODUCT(_xlfn.XLOOKUP(Z203:AC203,$B$3:$B$6,$C$3:$C$6))</f>
        <v>0</v>
      </c>
      <c r="AF203">
        <f t="shared" si="19"/>
        <v>0</v>
      </c>
      <c r="AI203">
        <v>2</v>
      </c>
      <c r="AJ203">
        <v>5</v>
      </c>
      <c r="AK203">
        <v>2</v>
      </c>
      <c r="AL203">
        <v>4</v>
      </c>
      <c r="AM203">
        <v>3</v>
      </c>
      <c r="AN203">
        <f t="shared" si="20"/>
        <v>240</v>
      </c>
      <c r="AO203" cm="1">
        <f t="array" ref="AO203">PRODUCT(_xlfn.XLOOKUP(AI203:AM203,$B$3:$B$6,$C$3:$C$6))</f>
        <v>0</v>
      </c>
      <c r="AP203">
        <f t="shared" si="21"/>
        <v>0</v>
      </c>
    </row>
    <row r="204" spans="26:42" x14ac:dyDescent="0.2">
      <c r="Z204">
        <v>5</v>
      </c>
      <c r="AA204">
        <v>2</v>
      </c>
      <c r="AB204">
        <v>4</v>
      </c>
      <c r="AC204">
        <v>4</v>
      </c>
      <c r="AD204">
        <f t="shared" si="18"/>
        <v>160</v>
      </c>
      <c r="AE204" cm="1">
        <f t="array" ref="AE204">PRODUCT(_xlfn.XLOOKUP(Z204:AC204,$B$3:$B$6,$C$3:$C$6))</f>
        <v>0</v>
      </c>
      <c r="AF204">
        <f t="shared" si="19"/>
        <v>0</v>
      </c>
      <c r="AI204">
        <v>2</v>
      </c>
      <c r="AJ204">
        <v>5</v>
      </c>
      <c r="AK204">
        <v>2</v>
      </c>
      <c r="AL204">
        <v>4</v>
      </c>
      <c r="AM204">
        <v>4</v>
      </c>
      <c r="AN204">
        <f t="shared" si="20"/>
        <v>320</v>
      </c>
      <c r="AO204" cm="1">
        <f t="array" ref="AO204">PRODUCT(_xlfn.XLOOKUP(AI204:AM204,$B$3:$B$6,$C$3:$C$6))</f>
        <v>0</v>
      </c>
      <c r="AP204">
        <f t="shared" si="21"/>
        <v>0</v>
      </c>
    </row>
    <row r="205" spans="26:42" x14ac:dyDescent="0.2">
      <c r="Z205">
        <v>5</v>
      </c>
      <c r="AA205">
        <v>2</v>
      </c>
      <c r="AB205">
        <v>4</v>
      </c>
      <c r="AC205">
        <v>5</v>
      </c>
      <c r="AD205">
        <f t="shared" si="18"/>
        <v>200</v>
      </c>
      <c r="AE205" cm="1">
        <f t="array" ref="AE205">PRODUCT(_xlfn.XLOOKUP(Z205:AC205,$B$3:$B$6,$C$3:$C$6))</f>
        <v>0</v>
      </c>
      <c r="AF205">
        <f t="shared" si="19"/>
        <v>0</v>
      </c>
      <c r="AI205">
        <v>2</v>
      </c>
      <c r="AJ205">
        <v>5</v>
      </c>
      <c r="AK205">
        <v>2</v>
      </c>
      <c r="AL205">
        <v>4</v>
      </c>
      <c r="AM205">
        <v>5</v>
      </c>
      <c r="AN205">
        <f t="shared" si="20"/>
        <v>400</v>
      </c>
      <c r="AO205" cm="1">
        <f t="array" ref="AO205">PRODUCT(_xlfn.XLOOKUP(AI205:AM205,$B$3:$B$6,$C$3:$C$6))</f>
        <v>0</v>
      </c>
      <c r="AP205">
        <f t="shared" si="21"/>
        <v>0</v>
      </c>
    </row>
    <row r="206" spans="26:42" x14ac:dyDescent="0.2">
      <c r="Z206">
        <v>5</v>
      </c>
      <c r="AA206">
        <v>2</v>
      </c>
      <c r="AB206">
        <v>5</v>
      </c>
      <c r="AC206">
        <v>2</v>
      </c>
      <c r="AD206">
        <f t="shared" si="18"/>
        <v>100</v>
      </c>
      <c r="AE206" cm="1">
        <f t="array" ref="AE206">PRODUCT(_xlfn.XLOOKUP(Z206:AC206,$B$3:$B$6,$C$3:$C$6))</f>
        <v>1.1663999999999999E-2</v>
      </c>
      <c r="AF206">
        <f t="shared" si="19"/>
        <v>1.1663999999999999</v>
      </c>
      <c r="AI206">
        <v>2</v>
      </c>
      <c r="AJ206">
        <v>5</v>
      </c>
      <c r="AK206">
        <v>2</v>
      </c>
      <c r="AL206">
        <v>5</v>
      </c>
      <c r="AM206">
        <v>2</v>
      </c>
      <c r="AN206">
        <f t="shared" si="20"/>
        <v>200</v>
      </c>
      <c r="AO206" cm="1">
        <f t="array" ref="AO206">PRODUCT(_xlfn.XLOOKUP(AI206:AM206,$B$3:$B$6,$C$3:$C$6))</f>
        <v>6.9983999999999992E-3</v>
      </c>
      <c r="AP206">
        <f t="shared" si="21"/>
        <v>1.3996799999999998</v>
      </c>
    </row>
    <row r="207" spans="26:42" x14ac:dyDescent="0.2">
      <c r="Z207">
        <v>5</v>
      </c>
      <c r="AA207">
        <v>2</v>
      </c>
      <c r="AB207">
        <v>5</v>
      </c>
      <c r="AC207">
        <v>3</v>
      </c>
      <c r="AD207">
        <f t="shared" si="18"/>
        <v>150</v>
      </c>
      <c r="AE207" cm="1">
        <f t="array" ref="AE207">PRODUCT(_xlfn.XLOOKUP(Z207:AC207,$B$3:$B$6,$C$3:$C$6))</f>
        <v>4.2767999999999999E-3</v>
      </c>
      <c r="AF207">
        <f t="shared" si="19"/>
        <v>0.64151999999999998</v>
      </c>
      <c r="AI207">
        <v>2</v>
      </c>
      <c r="AJ207">
        <v>5</v>
      </c>
      <c r="AK207">
        <v>2</v>
      </c>
      <c r="AL207">
        <v>5</v>
      </c>
      <c r="AM207">
        <v>3</v>
      </c>
      <c r="AN207">
        <f t="shared" si="20"/>
        <v>300</v>
      </c>
      <c r="AO207" cm="1">
        <f t="array" ref="AO207">PRODUCT(_xlfn.XLOOKUP(AI207:AM207,$B$3:$B$6,$C$3:$C$6))</f>
        <v>2.5660799999999997E-3</v>
      </c>
      <c r="AP207">
        <f t="shared" si="21"/>
        <v>0.76982399999999995</v>
      </c>
    </row>
    <row r="208" spans="26:42" x14ac:dyDescent="0.2">
      <c r="Z208">
        <v>5</v>
      </c>
      <c r="AA208">
        <v>2</v>
      </c>
      <c r="AB208">
        <v>5</v>
      </c>
      <c r="AC208">
        <v>4</v>
      </c>
      <c r="AD208">
        <f t="shared" si="18"/>
        <v>200</v>
      </c>
      <c r="AE208" cm="1">
        <f t="array" ref="AE208">PRODUCT(_xlfn.XLOOKUP(Z208:AC208,$B$3:$B$6,$C$3:$C$6))</f>
        <v>0</v>
      </c>
      <c r="AF208">
        <f t="shared" si="19"/>
        <v>0</v>
      </c>
      <c r="AI208">
        <v>2</v>
      </c>
      <c r="AJ208">
        <v>5</v>
      </c>
      <c r="AK208">
        <v>2</v>
      </c>
      <c r="AL208">
        <v>5</v>
      </c>
      <c r="AM208">
        <v>4</v>
      </c>
      <c r="AN208">
        <f t="shared" si="20"/>
        <v>400</v>
      </c>
      <c r="AO208" cm="1">
        <f t="array" ref="AO208">PRODUCT(_xlfn.XLOOKUP(AI208:AM208,$B$3:$B$6,$C$3:$C$6))</f>
        <v>0</v>
      </c>
      <c r="AP208">
        <f t="shared" si="21"/>
        <v>0</v>
      </c>
    </row>
    <row r="209" spans="26:42" x14ac:dyDescent="0.2">
      <c r="Z209">
        <v>5</v>
      </c>
      <c r="AA209">
        <v>2</v>
      </c>
      <c r="AB209">
        <v>5</v>
      </c>
      <c r="AC209">
        <v>5</v>
      </c>
      <c r="AD209">
        <f t="shared" si="18"/>
        <v>250</v>
      </c>
      <c r="AE209" cm="1">
        <f t="array" ref="AE209">PRODUCT(_xlfn.XLOOKUP(Z209:AC209,$B$3:$B$6,$C$3:$C$6))</f>
        <v>3.4991999999999996E-3</v>
      </c>
      <c r="AF209">
        <f t="shared" si="19"/>
        <v>0.87479999999999991</v>
      </c>
      <c r="AI209">
        <v>2</v>
      </c>
      <c r="AJ209">
        <v>5</v>
      </c>
      <c r="AK209">
        <v>2</v>
      </c>
      <c r="AL209">
        <v>5</v>
      </c>
      <c r="AM209">
        <v>5</v>
      </c>
      <c r="AN209">
        <f t="shared" si="20"/>
        <v>500</v>
      </c>
      <c r="AO209" cm="1">
        <f t="array" ref="AO209">PRODUCT(_xlfn.XLOOKUP(AI209:AM209,$B$3:$B$6,$C$3:$C$6))</f>
        <v>2.0995199999999997E-3</v>
      </c>
      <c r="AP209">
        <f t="shared" si="21"/>
        <v>1.0497599999999998</v>
      </c>
    </row>
    <row r="210" spans="26:42" x14ac:dyDescent="0.2">
      <c r="Z210">
        <v>5</v>
      </c>
      <c r="AA210">
        <v>3</v>
      </c>
      <c r="AB210">
        <v>2</v>
      </c>
      <c r="AC210">
        <v>2</v>
      </c>
      <c r="AD210">
        <f t="shared" si="18"/>
        <v>60</v>
      </c>
      <c r="AE210" cm="1">
        <f t="array" ref="AE210">PRODUCT(_xlfn.XLOOKUP(Z210:AC210,$B$3:$B$6,$C$3:$C$6))</f>
        <v>1.4255999999999998E-2</v>
      </c>
      <c r="AF210">
        <f t="shared" si="19"/>
        <v>0.8553599999999999</v>
      </c>
      <c r="AI210">
        <v>2</v>
      </c>
      <c r="AJ210">
        <v>5</v>
      </c>
      <c r="AK210">
        <v>3</v>
      </c>
      <c r="AL210">
        <v>2</v>
      </c>
      <c r="AM210">
        <v>2</v>
      </c>
      <c r="AN210">
        <f t="shared" si="20"/>
        <v>120</v>
      </c>
      <c r="AO210" cm="1">
        <f t="array" ref="AO210">PRODUCT(_xlfn.XLOOKUP(AI210:AM210,$B$3:$B$6,$C$3:$C$6))</f>
        <v>8.5535999999999997E-3</v>
      </c>
      <c r="AP210">
        <f t="shared" si="21"/>
        <v>1.026432</v>
      </c>
    </row>
    <row r="211" spans="26:42" x14ac:dyDescent="0.2">
      <c r="Z211">
        <v>5</v>
      </c>
      <c r="AA211">
        <v>3</v>
      </c>
      <c r="AB211">
        <v>2</v>
      </c>
      <c r="AC211">
        <v>3</v>
      </c>
      <c r="AD211">
        <f t="shared" si="18"/>
        <v>90</v>
      </c>
      <c r="AE211" cm="1">
        <f t="array" ref="AE211">PRODUCT(_xlfn.XLOOKUP(Z211:AC211,$B$3:$B$6,$C$3:$C$6))</f>
        <v>5.2271999999999996E-3</v>
      </c>
      <c r="AF211">
        <f t="shared" si="19"/>
        <v>0.47044799999999998</v>
      </c>
      <c r="AI211">
        <v>2</v>
      </c>
      <c r="AJ211">
        <v>5</v>
      </c>
      <c r="AK211">
        <v>3</v>
      </c>
      <c r="AL211">
        <v>2</v>
      </c>
      <c r="AM211">
        <v>3</v>
      </c>
      <c r="AN211">
        <f t="shared" si="20"/>
        <v>180</v>
      </c>
      <c r="AO211" cm="1">
        <f t="array" ref="AO211">PRODUCT(_xlfn.XLOOKUP(AI211:AM211,$B$3:$B$6,$C$3:$C$6))</f>
        <v>3.1363199999999997E-3</v>
      </c>
      <c r="AP211">
        <f t="shared" si="21"/>
        <v>0.56453759999999997</v>
      </c>
    </row>
    <row r="212" spans="26:42" x14ac:dyDescent="0.2">
      <c r="Z212">
        <v>5</v>
      </c>
      <c r="AA212">
        <v>3</v>
      </c>
      <c r="AB212">
        <v>2</v>
      </c>
      <c r="AC212">
        <v>4</v>
      </c>
      <c r="AD212">
        <f t="shared" si="18"/>
        <v>120</v>
      </c>
      <c r="AE212" cm="1">
        <f t="array" ref="AE212">PRODUCT(_xlfn.XLOOKUP(Z212:AC212,$B$3:$B$6,$C$3:$C$6))</f>
        <v>0</v>
      </c>
      <c r="AF212">
        <f t="shared" si="19"/>
        <v>0</v>
      </c>
      <c r="AI212">
        <v>2</v>
      </c>
      <c r="AJ212">
        <v>5</v>
      </c>
      <c r="AK212">
        <v>3</v>
      </c>
      <c r="AL212">
        <v>2</v>
      </c>
      <c r="AM212">
        <v>4</v>
      </c>
      <c r="AN212">
        <f t="shared" si="20"/>
        <v>240</v>
      </c>
      <c r="AO212" cm="1">
        <f t="array" ref="AO212">PRODUCT(_xlfn.XLOOKUP(AI212:AM212,$B$3:$B$6,$C$3:$C$6))</f>
        <v>0</v>
      </c>
      <c r="AP212">
        <f t="shared" si="21"/>
        <v>0</v>
      </c>
    </row>
    <row r="213" spans="26:42" x14ac:dyDescent="0.2">
      <c r="Z213">
        <v>5</v>
      </c>
      <c r="AA213">
        <v>3</v>
      </c>
      <c r="AB213">
        <v>2</v>
      </c>
      <c r="AC213">
        <v>5</v>
      </c>
      <c r="AD213">
        <f t="shared" si="18"/>
        <v>150</v>
      </c>
      <c r="AE213" cm="1">
        <f t="array" ref="AE213">PRODUCT(_xlfn.XLOOKUP(Z213:AC213,$B$3:$B$6,$C$3:$C$6))</f>
        <v>4.276799999999999E-3</v>
      </c>
      <c r="AF213">
        <f t="shared" si="19"/>
        <v>0.64151999999999987</v>
      </c>
      <c r="AI213">
        <v>2</v>
      </c>
      <c r="AJ213">
        <v>5</v>
      </c>
      <c r="AK213">
        <v>3</v>
      </c>
      <c r="AL213">
        <v>2</v>
      </c>
      <c r="AM213">
        <v>5</v>
      </c>
      <c r="AN213">
        <f t="shared" si="20"/>
        <v>300</v>
      </c>
      <c r="AO213" cm="1">
        <f t="array" ref="AO213">PRODUCT(_xlfn.XLOOKUP(AI213:AM213,$B$3:$B$6,$C$3:$C$6))</f>
        <v>2.5660799999999997E-3</v>
      </c>
      <c r="AP213">
        <f t="shared" si="21"/>
        <v>0.76982399999999995</v>
      </c>
    </row>
    <row r="214" spans="26:42" x14ac:dyDescent="0.2">
      <c r="Z214">
        <v>5</v>
      </c>
      <c r="AA214">
        <v>3</v>
      </c>
      <c r="AB214">
        <v>3</v>
      </c>
      <c r="AC214">
        <v>2</v>
      </c>
      <c r="AD214">
        <f t="shared" si="18"/>
        <v>90</v>
      </c>
      <c r="AE214" cm="1">
        <f t="array" ref="AE214">PRODUCT(_xlfn.XLOOKUP(Z214:AC214,$B$3:$B$6,$C$3:$C$6))</f>
        <v>5.2271999999999996E-3</v>
      </c>
      <c r="AF214">
        <f t="shared" si="19"/>
        <v>0.47044799999999998</v>
      </c>
      <c r="AI214">
        <v>2</v>
      </c>
      <c r="AJ214">
        <v>5</v>
      </c>
      <c r="AK214">
        <v>3</v>
      </c>
      <c r="AL214">
        <v>3</v>
      </c>
      <c r="AM214">
        <v>2</v>
      </c>
      <c r="AN214">
        <f t="shared" si="20"/>
        <v>180</v>
      </c>
      <c r="AO214" cm="1">
        <f t="array" ref="AO214">PRODUCT(_xlfn.XLOOKUP(AI214:AM214,$B$3:$B$6,$C$3:$C$6))</f>
        <v>3.1363200000000002E-3</v>
      </c>
      <c r="AP214">
        <f t="shared" si="21"/>
        <v>0.56453760000000008</v>
      </c>
    </row>
    <row r="215" spans="26:42" x14ac:dyDescent="0.2">
      <c r="Z215">
        <v>5</v>
      </c>
      <c r="AA215">
        <v>3</v>
      </c>
      <c r="AB215">
        <v>3</v>
      </c>
      <c r="AC215">
        <v>3</v>
      </c>
      <c r="AD215">
        <f t="shared" si="18"/>
        <v>135</v>
      </c>
      <c r="AE215" cm="1">
        <f t="array" ref="AE215">PRODUCT(_xlfn.XLOOKUP(Z215:AC215,$B$3:$B$6,$C$3:$C$6))</f>
        <v>1.9166399999999998E-3</v>
      </c>
      <c r="AF215">
        <f t="shared" si="19"/>
        <v>0.25874639999999999</v>
      </c>
      <c r="AI215">
        <v>2</v>
      </c>
      <c r="AJ215">
        <v>5</v>
      </c>
      <c r="AK215">
        <v>3</v>
      </c>
      <c r="AL215">
        <v>3</v>
      </c>
      <c r="AM215">
        <v>3</v>
      </c>
      <c r="AN215">
        <f t="shared" si="20"/>
        <v>270</v>
      </c>
      <c r="AO215" cm="1">
        <f t="array" ref="AO215">PRODUCT(_xlfn.XLOOKUP(AI215:AM215,$B$3:$B$6,$C$3:$C$6))</f>
        <v>1.1499840000000002E-3</v>
      </c>
      <c r="AP215">
        <f t="shared" si="21"/>
        <v>0.31049568000000005</v>
      </c>
    </row>
    <row r="216" spans="26:42" x14ac:dyDescent="0.2">
      <c r="Z216">
        <v>5</v>
      </c>
      <c r="AA216">
        <v>3</v>
      </c>
      <c r="AB216">
        <v>3</v>
      </c>
      <c r="AC216">
        <v>4</v>
      </c>
      <c r="AD216">
        <f t="shared" si="18"/>
        <v>180</v>
      </c>
      <c r="AE216" cm="1">
        <f t="array" ref="AE216">PRODUCT(_xlfn.XLOOKUP(Z216:AC216,$B$3:$B$6,$C$3:$C$6))</f>
        <v>0</v>
      </c>
      <c r="AF216">
        <f t="shared" si="19"/>
        <v>0</v>
      </c>
      <c r="AI216">
        <v>2</v>
      </c>
      <c r="AJ216">
        <v>5</v>
      </c>
      <c r="AK216">
        <v>3</v>
      </c>
      <c r="AL216">
        <v>3</v>
      </c>
      <c r="AM216">
        <v>4</v>
      </c>
      <c r="AN216">
        <f t="shared" si="20"/>
        <v>360</v>
      </c>
      <c r="AO216" cm="1">
        <f t="array" ref="AO216">PRODUCT(_xlfn.XLOOKUP(AI216:AM216,$B$3:$B$6,$C$3:$C$6))</f>
        <v>0</v>
      </c>
      <c r="AP216">
        <f t="shared" si="21"/>
        <v>0</v>
      </c>
    </row>
    <row r="217" spans="26:42" x14ac:dyDescent="0.2">
      <c r="Z217">
        <v>5</v>
      </c>
      <c r="AA217">
        <v>3</v>
      </c>
      <c r="AB217">
        <v>3</v>
      </c>
      <c r="AC217">
        <v>5</v>
      </c>
      <c r="AD217">
        <f t="shared" si="18"/>
        <v>225</v>
      </c>
      <c r="AE217" cm="1">
        <f t="array" ref="AE217">PRODUCT(_xlfn.XLOOKUP(Z217:AC217,$B$3:$B$6,$C$3:$C$6))</f>
        <v>1.5681599999999999E-3</v>
      </c>
      <c r="AF217">
        <f t="shared" si="19"/>
        <v>0.35283599999999998</v>
      </c>
      <c r="AI217">
        <v>2</v>
      </c>
      <c r="AJ217">
        <v>5</v>
      </c>
      <c r="AK217">
        <v>3</v>
      </c>
      <c r="AL217">
        <v>3</v>
      </c>
      <c r="AM217">
        <v>5</v>
      </c>
      <c r="AN217">
        <f t="shared" si="20"/>
        <v>450</v>
      </c>
      <c r="AO217" cm="1">
        <f t="array" ref="AO217">PRODUCT(_xlfn.XLOOKUP(AI217:AM217,$B$3:$B$6,$C$3:$C$6))</f>
        <v>9.4089600000000009E-4</v>
      </c>
      <c r="AP217">
        <f t="shared" si="21"/>
        <v>0.42340320000000004</v>
      </c>
    </row>
    <row r="218" spans="26:42" x14ac:dyDescent="0.2">
      <c r="Z218">
        <v>5</v>
      </c>
      <c r="AA218">
        <v>3</v>
      </c>
      <c r="AB218">
        <v>4</v>
      </c>
      <c r="AC218">
        <v>2</v>
      </c>
      <c r="AD218">
        <f t="shared" si="18"/>
        <v>120</v>
      </c>
      <c r="AE218" cm="1">
        <f t="array" ref="AE218">PRODUCT(_xlfn.XLOOKUP(Z218:AC218,$B$3:$B$6,$C$3:$C$6))</f>
        <v>0</v>
      </c>
      <c r="AF218">
        <f t="shared" si="19"/>
        <v>0</v>
      </c>
      <c r="AI218">
        <v>2</v>
      </c>
      <c r="AJ218">
        <v>5</v>
      </c>
      <c r="AK218">
        <v>3</v>
      </c>
      <c r="AL218">
        <v>4</v>
      </c>
      <c r="AM218">
        <v>2</v>
      </c>
      <c r="AN218">
        <f t="shared" si="20"/>
        <v>240</v>
      </c>
      <c r="AO218" cm="1">
        <f t="array" ref="AO218">PRODUCT(_xlfn.XLOOKUP(AI218:AM218,$B$3:$B$6,$C$3:$C$6))</f>
        <v>0</v>
      </c>
      <c r="AP218">
        <f t="shared" si="21"/>
        <v>0</v>
      </c>
    </row>
    <row r="219" spans="26:42" x14ac:dyDescent="0.2">
      <c r="Z219">
        <v>5</v>
      </c>
      <c r="AA219">
        <v>3</v>
      </c>
      <c r="AB219">
        <v>4</v>
      </c>
      <c r="AC219">
        <v>3</v>
      </c>
      <c r="AD219">
        <f t="shared" si="18"/>
        <v>180</v>
      </c>
      <c r="AE219" cm="1">
        <f t="array" ref="AE219">PRODUCT(_xlfn.XLOOKUP(Z219:AC219,$B$3:$B$6,$C$3:$C$6))</f>
        <v>0</v>
      </c>
      <c r="AF219">
        <f t="shared" si="19"/>
        <v>0</v>
      </c>
      <c r="AI219">
        <v>2</v>
      </c>
      <c r="AJ219">
        <v>5</v>
      </c>
      <c r="AK219">
        <v>3</v>
      </c>
      <c r="AL219">
        <v>4</v>
      </c>
      <c r="AM219">
        <v>3</v>
      </c>
      <c r="AN219">
        <f t="shared" si="20"/>
        <v>360</v>
      </c>
      <c r="AO219" cm="1">
        <f t="array" ref="AO219">PRODUCT(_xlfn.XLOOKUP(AI219:AM219,$B$3:$B$6,$C$3:$C$6))</f>
        <v>0</v>
      </c>
      <c r="AP219">
        <f t="shared" si="21"/>
        <v>0</v>
      </c>
    </row>
    <row r="220" spans="26:42" x14ac:dyDescent="0.2">
      <c r="Z220">
        <v>5</v>
      </c>
      <c r="AA220">
        <v>3</v>
      </c>
      <c r="AB220">
        <v>4</v>
      </c>
      <c r="AC220">
        <v>4</v>
      </c>
      <c r="AD220">
        <f t="shared" si="18"/>
        <v>240</v>
      </c>
      <c r="AE220" cm="1">
        <f t="array" ref="AE220">PRODUCT(_xlfn.XLOOKUP(Z220:AC220,$B$3:$B$6,$C$3:$C$6))</f>
        <v>0</v>
      </c>
      <c r="AF220">
        <f t="shared" si="19"/>
        <v>0</v>
      </c>
      <c r="AI220">
        <v>2</v>
      </c>
      <c r="AJ220">
        <v>5</v>
      </c>
      <c r="AK220">
        <v>3</v>
      </c>
      <c r="AL220">
        <v>4</v>
      </c>
      <c r="AM220">
        <v>4</v>
      </c>
      <c r="AN220">
        <f t="shared" si="20"/>
        <v>480</v>
      </c>
      <c r="AO220" cm="1">
        <f t="array" ref="AO220">PRODUCT(_xlfn.XLOOKUP(AI220:AM220,$B$3:$B$6,$C$3:$C$6))</f>
        <v>0</v>
      </c>
      <c r="AP220">
        <f t="shared" si="21"/>
        <v>0</v>
      </c>
    </row>
    <row r="221" spans="26:42" x14ac:dyDescent="0.2">
      <c r="Z221">
        <v>5</v>
      </c>
      <c r="AA221">
        <v>3</v>
      </c>
      <c r="AB221">
        <v>4</v>
      </c>
      <c r="AC221">
        <v>5</v>
      </c>
      <c r="AD221">
        <f t="shared" si="18"/>
        <v>300</v>
      </c>
      <c r="AE221" cm="1">
        <f t="array" ref="AE221">PRODUCT(_xlfn.XLOOKUP(Z221:AC221,$B$3:$B$6,$C$3:$C$6))</f>
        <v>0</v>
      </c>
      <c r="AF221">
        <f t="shared" si="19"/>
        <v>0</v>
      </c>
      <c r="AI221">
        <v>2</v>
      </c>
      <c r="AJ221">
        <v>5</v>
      </c>
      <c r="AK221">
        <v>3</v>
      </c>
      <c r="AL221">
        <v>4</v>
      </c>
      <c r="AM221">
        <v>5</v>
      </c>
      <c r="AN221">
        <f t="shared" si="20"/>
        <v>600</v>
      </c>
      <c r="AO221" cm="1">
        <f t="array" ref="AO221">PRODUCT(_xlfn.XLOOKUP(AI221:AM221,$B$3:$B$6,$C$3:$C$6))</f>
        <v>0</v>
      </c>
      <c r="AP221">
        <f t="shared" si="21"/>
        <v>0</v>
      </c>
    </row>
    <row r="222" spans="26:42" x14ac:dyDescent="0.2">
      <c r="Z222">
        <v>5</v>
      </c>
      <c r="AA222">
        <v>3</v>
      </c>
      <c r="AB222">
        <v>5</v>
      </c>
      <c r="AC222">
        <v>2</v>
      </c>
      <c r="AD222">
        <f t="shared" si="18"/>
        <v>150</v>
      </c>
      <c r="AE222" cm="1">
        <f t="array" ref="AE222">PRODUCT(_xlfn.XLOOKUP(Z222:AC222,$B$3:$B$6,$C$3:$C$6))</f>
        <v>4.276799999999999E-3</v>
      </c>
      <c r="AF222">
        <f t="shared" si="19"/>
        <v>0.64151999999999987</v>
      </c>
      <c r="AI222">
        <v>2</v>
      </c>
      <c r="AJ222">
        <v>5</v>
      </c>
      <c r="AK222">
        <v>3</v>
      </c>
      <c r="AL222">
        <v>5</v>
      </c>
      <c r="AM222">
        <v>2</v>
      </c>
      <c r="AN222">
        <f t="shared" si="20"/>
        <v>300</v>
      </c>
      <c r="AO222" cm="1">
        <f t="array" ref="AO222">PRODUCT(_xlfn.XLOOKUP(AI222:AM222,$B$3:$B$6,$C$3:$C$6))</f>
        <v>2.5660799999999997E-3</v>
      </c>
      <c r="AP222">
        <f t="shared" si="21"/>
        <v>0.76982399999999995</v>
      </c>
    </row>
    <row r="223" spans="26:42" x14ac:dyDescent="0.2">
      <c r="Z223">
        <v>5</v>
      </c>
      <c r="AA223">
        <v>3</v>
      </c>
      <c r="AB223">
        <v>5</v>
      </c>
      <c r="AC223">
        <v>3</v>
      </c>
      <c r="AD223">
        <f t="shared" si="18"/>
        <v>225</v>
      </c>
      <c r="AE223" cm="1">
        <f t="array" ref="AE223">PRODUCT(_xlfn.XLOOKUP(Z223:AC223,$B$3:$B$6,$C$3:$C$6))</f>
        <v>1.5681599999999999E-3</v>
      </c>
      <c r="AF223">
        <f t="shared" si="19"/>
        <v>0.35283599999999998</v>
      </c>
      <c r="AI223">
        <v>2</v>
      </c>
      <c r="AJ223">
        <v>5</v>
      </c>
      <c r="AK223">
        <v>3</v>
      </c>
      <c r="AL223">
        <v>5</v>
      </c>
      <c r="AM223">
        <v>3</v>
      </c>
      <c r="AN223">
        <f t="shared" si="20"/>
        <v>450</v>
      </c>
      <c r="AO223" cm="1">
        <f t="array" ref="AO223">PRODUCT(_xlfn.XLOOKUP(AI223:AM223,$B$3:$B$6,$C$3:$C$6))</f>
        <v>9.4089599999999998E-4</v>
      </c>
      <c r="AP223">
        <f t="shared" si="21"/>
        <v>0.42340319999999998</v>
      </c>
    </row>
    <row r="224" spans="26:42" x14ac:dyDescent="0.2">
      <c r="Z224">
        <v>5</v>
      </c>
      <c r="AA224">
        <v>3</v>
      </c>
      <c r="AB224">
        <v>5</v>
      </c>
      <c r="AC224">
        <v>4</v>
      </c>
      <c r="AD224">
        <f t="shared" si="18"/>
        <v>300</v>
      </c>
      <c r="AE224" cm="1">
        <f t="array" ref="AE224">PRODUCT(_xlfn.XLOOKUP(Z224:AC224,$B$3:$B$6,$C$3:$C$6))</f>
        <v>0</v>
      </c>
      <c r="AF224">
        <f t="shared" si="19"/>
        <v>0</v>
      </c>
      <c r="AI224">
        <v>2</v>
      </c>
      <c r="AJ224">
        <v>5</v>
      </c>
      <c r="AK224">
        <v>3</v>
      </c>
      <c r="AL224">
        <v>5</v>
      </c>
      <c r="AM224">
        <v>4</v>
      </c>
      <c r="AN224">
        <f t="shared" si="20"/>
        <v>600</v>
      </c>
      <c r="AO224" cm="1">
        <f t="array" ref="AO224">PRODUCT(_xlfn.XLOOKUP(AI224:AM224,$B$3:$B$6,$C$3:$C$6))</f>
        <v>0</v>
      </c>
      <c r="AP224">
        <f t="shared" si="21"/>
        <v>0</v>
      </c>
    </row>
    <row r="225" spans="26:42" x14ac:dyDescent="0.2">
      <c r="Z225">
        <v>5</v>
      </c>
      <c r="AA225">
        <v>3</v>
      </c>
      <c r="AB225">
        <v>5</v>
      </c>
      <c r="AC225">
        <v>5</v>
      </c>
      <c r="AD225">
        <f t="shared" si="18"/>
        <v>375</v>
      </c>
      <c r="AE225" cm="1">
        <f t="array" ref="AE225">PRODUCT(_xlfn.XLOOKUP(Z225:AC225,$B$3:$B$6,$C$3:$C$6))</f>
        <v>1.2830399999999998E-3</v>
      </c>
      <c r="AF225">
        <f t="shared" si="19"/>
        <v>0.48113999999999996</v>
      </c>
      <c r="AI225">
        <v>2</v>
      </c>
      <c r="AJ225">
        <v>5</v>
      </c>
      <c r="AK225">
        <v>3</v>
      </c>
      <c r="AL225">
        <v>5</v>
      </c>
      <c r="AM225">
        <v>5</v>
      </c>
      <c r="AN225">
        <f t="shared" si="20"/>
        <v>750</v>
      </c>
      <c r="AO225" cm="1">
        <f t="array" ref="AO225">PRODUCT(_xlfn.XLOOKUP(AI225:AM225,$B$3:$B$6,$C$3:$C$6))</f>
        <v>7.698239999999999E-4</v>
      </c>
      <c r="AP225">
        <f t="shared" si="21"/>
        <v>0.57736799999999988</v>
      </c>
    </row>
    <row r="226" spans="26:42" x14ac:dyDescent="0.2">
      <c r="Z226">
        <v>5</v>
      </c>
      <c r="AA226">
        <v>4</v>
      </c>
      <c r="AB226">
        <v>2</v>
      </c>
      <c r="AC226">
        <v>2</v>
      </c>
      <c r="AD226">
        <f t="shared" si="18"/>
        <v>80</v>
      </c>
      <c r="AE226" cm="1">
        <f t="array" ref="AE226">PRODUCT(_xlfn.XLOOKUP(Z226:AC226,$B$3:$B$6,$C$3:$C$6))</f>
        <v>0</v>
      </c>
      <c r="AF226">
        <f t="shared" si="19"/>
        <v>0</v>
      </c>
      <c r="AI226">
        <v>2</v>
      </c>
      <c r="AJ226">
        <v>5</v>
      </c>
      <c r="AK226">
        <v>4</v>
      </c>
      <c r="AL226">
        <v>2</v>
      </c>
      <c r="AM226">
        <v>2</v>
      </c>
      <c r="AN226">
        <f t="shared" si="20"/>
        <v>160</v>
      </c>
      <c r="AO226" cm="1">
        <f t="array" ref="AO226">PRODUCT(_xlfn.XLOOKUP(AI226:AM226,$B$3:$B$6,$C$3:$C$6))</f>
        <v>0</v>
      </c>
      <c r="AP226">
        <f t="shared" si="21"/>
        <v>0</v>
      </c>
    </row>
    <row r="227" spans="26:42" x14ac:dyDescent="0.2">
      <c r="Z227">
        <v>5</v>
      </c>
      <c r="AA227">
        <v>4</v>
      </c>
      <c r="AB227">
        <v>2</v>
      </c>
      <c r="AC227">
        <v>3</v>
      </c>
      <c r="AD227">
        <f t="shared" si="18"/>
        <v>120</v>
      </c>
      <c r="AE227" cm="1">
        <f t="array" ref="AE227">PRODUCT(_xlfn.XLOOKUP(Z227:AC227,$B$3:$B$6,$C$3:$C$6))</f>
        <v>0</v>
      </c>
      <c r="AF227">
        <f t="shared" si="19"/>
        <v>0</v>
      </c>
      <c r="AI227">
        <v>2</v>
      </c>
      <c r="AJ227">
        <v>5</v>
      </c>
      <c r="AK227">
        <v>4</v>
      </c>
      <c r="AL227">
        <v>2</v>
      </c>
      <c r="AM227">
        <v>3</v>
      </c>
      <c r="AN227">
        <f t="shared" si="20"/>
        <v>240</v>
      </c>
      <c r="AO227" cm="1">
        <f t="array" ref="AO227">PRODUCT(_xlfn.XLOOKUP(AI227:AM227,$B$3:$B$6,$C$3:$C$6))</f>
        <v>0</v>
      </c>
      <c r="AP227">
        <f t="shared" si="21"/>
        <v>0</v>
      </c>
    </row>
    <row r="228" spans="26:42" x14ac:dyDescent="0.2">
      <c r="Z228">
        <v>5</v>
      </c>
      <c r="AA228">
        <v>4</v>
      </c>
      <c r="AB228">
        <v>2</v>
      </c>
      <c r="AC228">
        <v>4</v>
      </c>
      <c r="AD228">
        <f t="shared" si="18"/>
        <v>160</v>
      </c>
      <c r="AE228" cm="1">
        <f t="array" ref="AE228">PRODUCT(_xlfn.XLOOKUP(Z228:AC228,$B$3:$B$6,$C$3:$C$6))</f>
        <v>0</v>
      </c>
      <c r="AF228">
        <f t="shared" si="19"/>
        <v>0</v>
      </c>
      <c r="AI228">
        <v>2</v>
      </c>
      <c r="AJ228">
        <v>5</v>
      </c>
      <c r="AK228">
        <v>4</v>
      </c>
      <c r="AL228">
        <v>2</v>
      </c>
      <c r="AM228">
        <v>4</v>
      </c>
      <c r="AN228">
        <f t="shared" si="20"/>
        <v>320</v>
      </c>
      <c r="AO228" cm="1">
        <f t="array" ref="AO228">PRODUCT(_xlfn.XLOOKUP(AI228:AM228,$B$3:$B$6,$C$3:$C$6))</f>
        <v>0</v>
      </c>
      <c r="AP228">
        <f t="shared" si="21"/>
        <v>0</v>
      </c>
    </row>
    <row r="229" spans="26:42" x14ac:dyDescent="0.2">
      <c r="Z229">
        <v>5</v>
      </c>
      <c r="AA229">
        <v>4</v>
      </c>
      <c r="AB229">
        <v>2</v>
      </c>
      <c r="AC229">
        <v>5</v>
      </c>
      <c r="AD229">
        <f t="shared" si="18"/>
        <v>200</v>
      </c>
      <c r="AE229" cm="1">
        <f t="array" ref="AE229">PRODUCT(_xlfn.XLOOKUP(Z229:AC229,$B$3:$B$6,$C$3:$C$6))</f>
        <v>0</v>
      </c>
      <c r="AF229">
        <f t="shared" si="19"/>
        <v>0</v>
      </c>
      <c r="AI229">
        <v>2</v>
      </c>
      <c r="AJ229">
        <v>5</v>
      </c>
      <c r="AK229">
        <v>4</v>
      </c>
      <c r="AL229">
        <v>2</v>
      </c>
      <c r="AM229">
        <v>5</v>
      </c>
      <c r="AN229">
        <f t="shared" si="20"/>
        <v>400</v>
      </c>
      <c r="AO229" cm="1">
        <f t="array" ref="AO229">PRODUCT(_xlfn.XLOOKUP(AI229:AM229,$B$3:$B$6,$C$3:$C$6))</f>
        <v>0</v>
      </c>
      <c r="AP229">
        <f t="shared" si="21"/>
        <v>0</v>
      </c>
    </row>
    <row r="230" spans="26:42" x14ac:dyDescent="0.2">
      <c r="Z230">
        <v>5</v>
      </c>
      <c r="AA230">
        <v>4</v>
      </c>
      <c r="AB230">
        <v>3</v>
      </c>
      <c r="AC230">
        <v>2</v>
      </c>
      <c r="AD230">
        <f t="shared" si="18"/>
        <v>120</v>
      </c>
      <c r="AE230" cm="1">
        <f t="array" ref="AE230">PRODUCT(_xlfn.XLOOKUP(Z230:AC230,$B$3:$B$6,$C$3:$C$6))</f>
        <v>0</v>
      </c>
      <c r="AF230">
        <f t="shared" si="19"/>
        <v>0</v>
      </c>
      <c r="AI230">
        <v>2</v>
      </c>
      <c r="AJ230">
        <v>5</v>
      </c>
      <c r="AK230">
        <v>4</v>
      </c>
      <c r="AL230">
        <v>3</v>
      </c>
      <c r="AM230">
        <v>2</v>
      </c>
      <c r="AN230">
        <f t="shared" si="20"/>
        <v>240</v>
      </c>
      <c r="AO230" cm="1">
        <f t="array" ref="AO230">PRODUCT(_xlfn.XLOOKUP(AI230:AM230,$B$3:$B$6,$C$3:$C$6))</f>
        <v>0</v>
      </c>
      <c r="AP230">
        <f t="shared" si="21"/>
        <v>0</v>
      </c>
    </row>
    <row r="231" spans="26:42" x14ac:dyDescent="0.2">
      <c r="Z231">
        <v>5</v>
      </c>
      <c r="AA231">
        <v>4</v>
      </c>
      <c r="AB231">
        <v>3</v>
      </c>
      <c r="AC231">
        <v>3</v>
      </c>
      <c r="AD231">
        <f t="shared" si="18"/>
        <v>180</v>
      </c>
      <c r="AE231" cm="1">
        <f t="array" ref="AE231">PRODUCT(_xlfn.XLOOKUP(Z231:AC231,$B$3:$B$6,$C$3:$C$6))</f>
        <v>0</v>
      </c>
      <c r="AF231">
        <f t="shared" si="19"/>
        <v>0</v>
      </c>
      <c r="AI231">
        <v>2</v>
      </c>
      <c r="AJ231">
        <v>5</v>
      </c>
      <c r="AK231">
        <v>4</v>
      </c>
      <c r="AL231">
        <v>3</v>
      </c>
      <c r="AM231">
        <v>3</v>
      </c>
      <c r="AN231">
        <f t="shared" si="20"/>
        <v>360</v>
      </c>
      <c r="AO231" cm="1">
        <f t="array" ref="AO231">PRODUCT(_xlfn.XLOOKUP(AI231:AM231,$B$3:$B$6,$C$3:$C$6))</f>
        <v>0</v>
      </c>
      <c r="AP231">
        <f t="shared" si="21"/>
        <v>0</v>
      </c>
    </row>
    <row r="232" spans="26:42" x14ac:dyDescent="0.2">
      <c r="Z232">
        <v>5</v>
      </c>
      <c r="AA232">
        <v>4</v>
      </c>
      <c r="AB232">
        <v>3</v>
      </c>
      <c r="AC232">
        <v>4</v>
      </c>
      <c r="AD232">
        <f t="shared" si="18"/>
        <v>240</v>
      </c>
      <c r="AE232" cm="1">
        <f t="array" ref="AE232">PRODUCT(_xlfn.XLOOKUP(Z232:AC232,$B$3:$B$6,$C$3:$C$6))</f>
        <v>0</v>
      </c>
      <c r="AF232">
        <f t="shared" si="19"/>
        <v>0</v>
      </c>
      <c r="AI232">
        <v>2</v>
      </c>
      <c r="AJ232">
        <v>5</v>
      </c>
      <c r="AK232">
        <v>4</v>
      </c>
      <c r="AL232">
        <v>3</v>
      </c>
      <c r="AM232">
        <v>4</v>
      </c>
      <c r="AN232">
        <f t="shared" si="20"/>
        <v>480</v>
      </c>
      <c r="AO232" cm="1">
        <f t="array" ref="AO232">PRODUCT(_xlfn.XLOOKUP(AI232:AM232,$B$3:$B$6,$C$3:$C$6))</f>
        <v>0</v>
      </c>
      <c r="AP232">
        <f t="shared" si="21"/>
        <v>0</v>
      </c>
    </row>
    <row r="233" spans="26:42" x14ac:dyDescent="0.2">
      <c r="Z233">
        <v>5</v>
      </c>
      <c r="AA233">
        <v>4</v>
      </c>
      <c r="AB233">
        <v>3</v>
      </c>
      <c r="AC233">
        <v>5</v>
      </c>
      <c r="AD233">
        <f t="shared" si="18"/>
        <v>300</v>
      </c>
      <c r="AE233" cm="1">
        <f t="array" ref="AE233">PRODUCT(_xlfn.XLOOKUP(Z233:AC233,$B$3:$B$6,$C$3:$C$6))</f>
        <v>0</v>
      </c>
      <c r="AF233">
        <f t="shared" si="19"/>
        <v>0</v>
      </c>
      <c r="AI233">
        <v>2</v>
      </c>
      <c r="AJ233">
        <v>5</v>
      </c>
      <c r="AK233">
        <v>4</v>
      </c>
      <c r="AL233">
        <v>3</v>
      </c>
      <c r="AM233">
        <v>5</v>
      </c>
      <c r="AN233">
        <f t="shared" si="20"/>
        <v>600</v>
      </c>
      <c r="AO233" cm="1">
        <f t="array" ref="AO233">PRODUCT(_xlfn.XLOOKUP(AI233:AM233,$B$3:$B$6,$C$3:$C$6))</f>
        <v>0</v>
      </c>
      <c r="AP233">
        <f t="shared" si="21"/>
        <v>0</v>
      </c>
    </row>
    <row r="234" spans="26:42" x14ac:dyDescent="0.2">
      <c r="Z234">
        <v>5</v>
      </c>
      <c r="AA234">
        <v>4</v>
      </c>
      <c r="AB234">
        <v>4</v>
      </c>
      <c r="AC234">
        <v>2</v>
      </c>
      <c r="AD234">
        <f t="shared" si="18"/>
        <v>160</v>
      </c>
      <c r="AE234" cm="1">
        <f t="array" ref="AE234">PRODUCT(_xlfn.XLOOKUP(Z234:AC234,$B$3:$B$6,$C$3:$C$6))</f>
        <v>0</v>
      </c>
      <c r="AF234">
        <f t="shared" si="19"/>
        <v>0</v>
      </c>
      <c r="AI234">
        <v>2</v>
      </c>
      <c r="AJ234">
        <v>5</v>
      </c>
      <c r="AK234">
        <v>4</v>
      </c>
      <c r="AL234">
        <v>4</v>
      </c>
      <c r="AM234">
        <v>2</v>
      </c>
      <c r="AN234">
        <f t="shared" si="20"/>
        <v>320</v>
      </c>
      <c r="AO234" cm="1">
        <f t="array" ref="AO234">PRODUCT(_xlfn.XLOOKUP(AI234:AM234,$B$3:$B$6,$C$3:$C$6))</f>
        <v>0</v>
      </c>
      <c r="AP234">
        <f t="shared" si="21"/>
        <v>0</v>
      </c>
    </row>
    <row r="235" spans="26:42" x14ac:dyDescent="0.2">
      <c r="Z235">
        <v>5</v>
      </c>
      <c r="AA235">
        <v>4</v>
      </c>
      <c r="AB235">
        <v>4</v>
      </c>
      <c r="AC235">
        <v>3</v>
      </c>
      <c r="AD235">
        <f t="shared" si="18"/>
        <v>240</v>
      </c>
      <c r="AE235" cm="1">
        <f t="array" ref="AE235">PRODUCT(_xlfn.XLOOKUP(Z235:AC235,$B$3:$B$6,$C$3:$C$6))</f>
        <v>0</v>
      </c>
      <c r="AF235">
        <f t="shared" si="19"/>
        <v>0</v>
      </c>
      <c r="AI235">
        <v>2</v>
      </c>
      <c r="AJ235">
        <v>5</v>
      </c>
      <c r="AK235">
        <v>4</v>
      </c>
      <c r="AL235">
        <v>4</v>
      </c>
      <c r="AM235">
        <v>3</v>
      </c>
      <c r="AN235">
        <f t="shared" si="20"/>
        <v>480</v>
      </c>
      <c r="AO235" cm="1">
        <f t="array" ref="AO235">PRODUCT(_xlfn.XLOOKUP(AI235:AM235,$B$3:$B$6,$C$3:$C$6))</f>
        <v>0</v>
      </c>
      <c r="AP235">
        <f t="shared" si="21"/>
        <v>0</v>
      </c>
    </row>
    <row r="236" spans="26:42" x14ac:dyDescent="0.2">
      <c r="Z236">
        <v>5</v>
      </c>
      <c r="AA236">
        <v>4</v>
      </c>
      <c r="AB236">
        <v>4</v>
      </c>
      <c r="AC236">
        <v>4</v>
      </c>
      <c r="AD236">
        <f t="shared" si="18"/>
        <v>320</v>
      </c>
      <c r="AE236" cm="1">
        <f t="array" ref="AE236">PRODUCT(_xlfn.XLOOKUP(Z236:AC236,$B$3:$B$6,$C$3:$C$6))</f>
        <v>0</v>
      </c>
      <c r="AF236">
        <f t="shared" si="19"/>
        <v>0</v>
      </c>
      <c r="AI236">
        <v>2</v>
      </c>
      <c r="AJ236">
        <v>5</v>
      </c>
      <c r="AK236">
        <v>4</v>
      </c>
      <c r="AL236">
        <v>4</v>
      </c>
      <c r="AM236">
        <v>4</v>
      </c>
      <c r="AN236">
        <f t="shared" si="20"/>
        <v>640</v>
      </c>
      <c r="AO236" cm="1">
        <f t="array" ref="AO236">PRODUCT(_xlfn.XLOOKUP(AI236:AM236,$B$3:$B$6,$C$3:$C$6))</f>
        <v>0</v>
      </c>
      <c r="AP236">
        <f t="shared" si="21"/>
        <v>0</v>
      </c>
    </row>
    <row r="237" spans="26:42" x14ac:dyDescent="0.2">
      <c r="Z237">
        <v>5</v>
      </c>
      <c r="AA237">
        <v>4</v>
      </c>
      <c r="AB237">
        <v>4</v>
      </c>
      <c r="AC237">
        <v>5</v>
      </c>
      <c r="AD237">
        <f t="shared" si="18"/>
        <v>400</v>
      </c>
      <c r="AE237" cm="1">
        <f t="array" ref="AE237">PRODUCT(_xlfn.XLOOKUP(Z237:AC237,$B$3:$B$6,$C$3:$C$6))</f>
        <v>0</v>
      </c>
      <c r="AF237">
        <f t="shared" si="19"/>
        <v>0</v>
      </c>
      <c r="AI237">
        <v>2</v>
      </c>
      <c r="AJ237">
        <v>5</v>
      </c>
      <c r="AK237">
        <v>4</v>
      </c>
      <c r="AL237">
        <v>4</v>
      </c>
      <c r="AM237">
        <v>5</v>
      </c>
      <c r="AN237">
        <f t="shared" si="20"/>
        <v>800</v>
      </c>
      <c r="AO237" cm="1">
        <f t="array" ref="AO237">PRODUCT(_xlfn.XLOOKUP(AI237:AM237,$B$3:$B$6,$C$3:$C$6))</f>
        <v>0</v>
      </c>
      <c r="AP237">
        <f t="shared" si="21"/>
        <v>0</v>
      </c>
    </row>
    <row r="238" spans="26:42" x14ac:dyDescent="0.2">
      <c r="Z238">
        <v>5</v>
      </c>
      <c r="AA238">
        <v>4</v>
      </c>
      <c r="AB238">
        <v>5</v>
      </c>
      <c r="AC238">
        <v>2</v>
      </c>
      <c r="AD238">
        <f t="shared" si="18"/>
        <v>200</v>
      </c>
      <c r="AE238" cm="1">
        <f t="array" ref="AE238">PRODUCT(_xlfn.XLOOKUP(Z238:AC238,$B$3:$B$6,$C$3:$C$6))</f>
        <v>0</v>
      </c>
      <c r="AF238">
        <f t="shared" si="19"/>
        <v>0</v>
      </c>
      <c r="AI238">
        <v>2</v>
      </c>
      <c r="AJ238">
        <v>5</v>
      </c>
      <c r="AK238">
        <v>4</v>
      </c>
      <c r="AL238">
        <v>5</v>
      </c>
      <c r="AM238">
        <v>2</v>
      </c>
      <c r="AN238">
        <f t="shared" si="20"/>
        <v>400</v>
      </c>
      <c r="AO238" cm="1">
        <f t="array" ref="AO238">PRODUCT(_xlfn.XLOOKUP(AI238:AM238,$B$3:$B$6,$C$3:$C$6))</f>
        <v>0</v>
      </c>
      <c r="AP238">
        <f t="shared" si="21"/>
        <v>0</v>
      </c>
    </row>
    <row r="239" spans="26:42" x14ac:dyDescent="0.2">
      <c r="Z239">
        <v>5</v>
      </c>
      <c r="AA239">
        <v>4</v>
      </c>
      <c r="AB239">
        <v>5</v>
      </c>
      <c r="AC239">
        <v>3</v>
      </c>
      <c r="AD239">
        <f t="shared" si="18"/>
        <v>300</v>
      </c>
      <c r="AE239" cm="1">
        <f t="array" ref="AE239">PRODUCT(_xlfn.XLOOKUP(Z239:AC239,$B$3:$B$6,$C$3:$C$6))</f>
        <v>0</v>
      </c>
      <c r="AF239">
        <f t="shared" si="19"/>
        <v>0</v>
      </c>
      <c r="AI239">
        <v>2</v>
      </c>
      <c r="AJ239">
        <v>5</v>
      </c>
      <c r="AK239">
        <v>4</v>
      </c>
      <c r="AL239">
        <v>5</v>
      </c>
      <c r="AM239">
        <v>3</v>
      </c>
      <c r="AN239">
        <f t="shared" si="20"/>
        <v>600</v>
      </c>
      <c r="AO239" cm="1">
        <f t="array" ref="AO239">PRODUCT(_xlfn.XLOOKUP(AI239:AM239,$B$3:$B$6,$C$3:$C$6))</f>
        <v>0</v>
      </c>
      <c r="AP239">
        <f t="shared" si="21"/>
        <v>0</v>
      </c>
    </row>
    <row r="240" spans="26:42" x14ac:dyDescent="0.2">
      <c r="Z240">
        <v>5</v>
      </c>
      <c r="AA240">
        <v>4</v>
      </c>
      <c r="AB240">
        <v>5</v>
      </c>
      <c r="AC240">
        <v>4</v>
      </c>
      <c r="AD240">
        <f t="shared" si="18"/>
        <v>400</v>
      </c>
      <c r="AE240" cm="1">
        <f t="array" ref="AE240">PRODUCT(_xlfn.XLOOKUP(Z240:AC240,$B$3:$B$6,$C$3:$C$6))</f>
        <v>0</v>
      </c>
      <c r="AF240">
        <f t="shared" si="19"/>
        <v>0</v>
      </c>
      <c r="AI240">
        <v>2</v>
      </c>
      <c r="AJ240">
        <v>5</v>
      </c>
      <c r="AK240">
        <v>4</v>
      </c>
      <c r="AL240">
        <v>5</v>
      </c>
      <c r="AM240">
        <v>4</v>
      </c>
      <c r="AN240">
        <f t="shared" si="20"/>
        <v>800</v>
      </c>
      <c r="AO240" cm="1">
        <f t="array" ref="AO240">PRODUCT(_xlfn.XLOOKUP(AI240:AM240,$B$3:$B$6,$C$3:$C$6))</f>
        <v>0</v>
      </c>
      <c r="AP240">
        <f t="shared" si="21"/>
        <v>0</v>
      </c>
    </row>
    <row r="241" spans="26:42" x14ac:dyDescent="0.2">
      <c r="Z241">
        <v>5</v>
      </c>
      <c r="AA241">
        <v>4</v>
      </c>
      <c r="AB241">
        <v>5</v>
      </c>
      <c r="AC241">
        <v>5</v>
      </c>
      <c r="AD241">
        <f t="shared" si="18"/>
        <v>500</v>
      </c>
      <c r="AE241" cm="1">
        <f t="array" ref="AE241">PRODUCT(_xlfn.XLOOKUP(Z241:AC241,$B$3:$B$6,$C$3:$C$6))</f>
        <v>0</v>
      </c>
      <c r="AF241">
        <f t="shared" si="19"/>
        <v>0</v>
      </c>
      <c r="AI241">
        <v>2</v>
      </c>
      <c r="AJ241">
        <v>5</v>
      </c>
      <c r="AK241">
        <v>4</v>
      </c>
      <c r="AL241">
        <v>5</v>
      </c>
      <c r="AM241">
        <v>5</v>
      </c>
      <c r="AN241">
        <f t="shared" si="20"/>
        <v>1000</v>
      </c>
      <c r="AO241" cm="1">
        <f t="array" ref="AO241">PRODUCT(_xlfn.XLOOKUP(AI241:AM241,$B$3:$B$6,$C$3:$C$6))</f>
        <v>0</v>
      </c>
      <c r="AP241">
        <f t="shared" si="21"/>
        <v>0</v>
      </c>
    </row>
    <row r="242" spans="26:42" x14ac:dyDescent="0.2">
      <c r="Z242">
        <v>5</v>
      </c>
      <c r="AA242">
        <v>5</v>
      </c>
      <c r="AB242">
        <v>2</v>
      </c>
      <c r="AC242">
        <v>2</v>
      </c>
      <c r="AD242">
        <f t="shared" si="18"/>
        <v>100</v>
      </c>
      <c r="AE242" cm="1">
        <f t="array" ref="AE242">PRODUCT(_xlfn.XLOOKUP(Z242:AC242,$B$3:$B$6,$C$3:$C$6))</f>
        <v>1.1663999999999999E-2</v>
      </c>
      <c r="AF242">
        <f t="shared" si="19"/>
        <v>1.1663999999999999</v>
      </c>
      <c r="AI242">
        <v>2</v>
      </c>
      <c r="AJ242">
        <v>5</v>
      </c>
      <c r="AK242">
        <v>5</v>
      </c>
      <c r="AL242">
        <v>2</v>
      </c>
      <c r="AM242">
        <v>2</v>
      </c>
      <c r="AN242">
        <f t="shared" si="20"/>
        <v>200</v>
      </c>
      <c r="AO242" cm="1">
        <f t="array" ref="AO242">PRODUCT(_xlfn.XLOOKUP(AI242:AM242,$B$3:$B$6,$C$3:$C$6))</f>
        <v>6.9983999999999992E-3</v>
      </c>
      <c r="AP242">
        <f t="shared" si="21"/>
        <v>1.3996799999999998</v>
      </c>
    </row>
    <row r="243" spans="26:42" x14ac:dyDescent="0.2">
      <c r="Z243">
        <v>5</v>
      </c>
      <c r="AA243">
        <v>5</v>
      </c>
      <c r="AB243">
        <v>2</v>
      </c>
      <c r="AC243">
        <v>3</v>
      </c>
      <c r="AD243">
        <f t="shared" si="18"/>
        <v>150</v>
      </c>
      <c r="AE243" cm="1">
        <f t="array" ref="AE243">PRODUCT(_xlfn.XLOOKUP(Z243:AC243,$B$3:$B$6,$C$3:$C$6))</f>
        <v>4.2767999999999999E-3</v>
      </c>
      <c r="AF243">
        <f t="shared" si="19"/>
        <v>0.64151999999999998</v>
      </c>
      <c r="AI243">
        <v>2</v>
      </c>
      <c r="AJ243">
        <v>5</v>
      </c>
      <c r="AK243">
        <v>5</v>
      </c>
      <c r="AL243">
        <v>2</v>
      </c>
      <c r="AM243">
        <v>3</v>
      </c>
      <c r="AN243">
        <f t="shared" si="20"/>
        <v>300</v>
      </c>
      <c r="AO243" cm="1">
        <f t="array" ref="AO243">PRODUCT(_xlfn.XLOOKUP(AI243:AM243,$B$3:$B$6,$C$3:$C$6))</f>
        <v>2.5660799999999997E-3</v>
      </c>
      <c r="AP243">
        <f t="shared" si="21"/>
        <v>0.76982399999999995</v>
      </c>
    </row>
    <row r="244" spans="26:42" x14ac:dyDescent="0.2">
      <c r="Z244">
        <v>5</v>
      </c>
      <c r="AA244">
        <v>5</v>
      </c>
      <c r="AB244">
        <v>2</v>
      </c>
      <c r="AC244">
        <v>4</v>
      </c>
      <c r="AD244">
        <f t="shared" si="18"/>
        <v>200</v>
      </c>
      <c r="AE244" cm="1">
        <f t="array" ref="AE244">PRODUCT(_xlfn.XLOOKUP(Z244:AC244,$B$3:$B$6,$C$3:$C$6))</f>
        <v>0</v>
      </c>
      <c r="AF244">
        <f t="shared" si="19"/>
        <v>0</v>
      </c>
      <c r="AI244">
        <v>2</v>
      </c>
      <c r="AJ244">
        <v>5</v>
      </c>
      <c r="AK244">
        <v>5</v>
      </c>
      <c r="AL244">
        <v>2</v>
      </c>
      <c r="AM244">
        <v>4</v>
      </c>
      <c r="AN244">
        <f t="shared" si="20"/>
        <v>400</v>
      </c>
      <c r="AO244" cm="1">
        <f t="array" ref="AO244">PRODUCT(_xlfn.XLOOKUP(AI244:AM244,$B$3:$B$6,$C$3:$C$6))</f>
        <v>0</v>
      </c>
      <c r="AP244">
        <f t="shared" si="21"/>
        <v>0</v>
      </c>
    </row>
    <row r="245" spans="26:42" x14ac:dyDescent="0.2">
      <c r="Z245">
        <v>5</v>
      </c>
      <c r="AA245">
        <v>5</v>
      </c>
      <c r="AB245">
        <v>2</v>
      </c>
      <c r="AC245">
        <v>5</v>
      </c>
      <c r="AD245">
        <f t="shared" si="18"/>
        <v>250</v>
      </c>
      <c r="AE245" cm="1">
        <f t="array" ref="AE245">PRODUCT(_xlfn.XLOOKUP(Z245:AC245,$B$3:$B$6,$C$3:$C$6))</f>
        <v>3.4991999999999996E-3</v>
      </c>
      <c r="AF245">
        <f t="shared" si="19"/>
        <v>0.87479999999999991</v>
      </c>
      <c r="AI245">
        <v>2</v>
      </c>
      <c r="AJ245">
        <v>5</v>
      </c>
      <c r="AK245">
        <v>5</v>
      </c>
      <c r="AL245">
        <v>2</v>
      </c>
      <c r="AM245">
        <v>5</v>
      </c>
      <c r="AN245">
        <f t="shared" si="20"/>
        <v>500</v>
      </c>
      <c r="AO245" cm="1">
        <f t="array" ref="AO245">PRODUCT(_xlfn.XLOOKUP(AI245:AM245,$B$3:$B$6,$C$3:$C$6))</f>
        <v>2.0995199999999997E-3</v>
      </c>
      <c r="AP245">
        <f t="shared" si="21"/>
        <v>1.0497599999999998</v>
      </c>
    </row>
    <row r="246" spans="26:42" x14ac:dyDescent="0.2">
      <c r="Z246">
        <v>5</v>
      </c>
      <c r="AA246">
        <v>5</v>
      </c>
      <c r="AB246">
        <v>3</v>
      </c>
      <c r="AC246">
        <v>2</v>
      </c>
      <c r="AD246">
        <f t="shared" si="18"/>
        <v>150</v>
      </c>
      <c r="AE246" cm="1">
        <f t="array" ref="AE246">PRODUCT(_xlfn.XLOOKUP(Z246:AC246,$B$3:$B$6,$C$3:$C$6))</f>
        <v>4.2767999999999999E-3</v>
      </c>
      <c r="AF246">
        <f t="shared" si="19"/>
        <v>0.64151999999999998</v>
      </c>
      <c r="AI246">
        <v>2</v>
      </c>
      <c r="AJ246">
        <v>5</v>
      </c>
      <c r="AK246">
        <v>5</v>
      </c>
      <c r="AL246">
        <v>3</v>
      </c>
      <c r="AM246">
        <v>2</v>
      </c>
      <c r="AN246">
        <f t="shared" si="20"/>
        <v>300</v>
      </c>
      <c r="AO246" cm="1">
        <f t="array" ref="AO246">PRODUCT(_xlfn.XLOOKUP(AI246:AM246,$B$3:$B$6,$C$3:$C$6))</f>
        <v>2.5660799999999997E-3</v>
      </c>
      <c r="AP246">
        <f t="shared" si="21"/>
        <v>0.76982399999999995</v>
      </c>
    </row>
    <row r="247" spans="26:42" x14ac:dyDescent="0.2">
      <c r="Z247">
        <v>5</v>
      </c>
      <c r="AA247">
        <v>5</v>
      </c>
      <c r="AB247">
        <v>3</v>
      </c>
      <c r="AC247">
        <v>3</v>
      </c>
      <c r="AD247">
        <f t="shared" si="18"/>
        <v>225</v>
      </c>
      <c r="AE247" cm="1">
        <f t="array" ref="AE247">PRODUCT(_xlfn.XLOOKUP(Z247:AC247,$B$3:$B$6,$C$3:$C$6))</f>
        <v>1.5681599999999999E-3</v>
      </c>
      <c r="AF247">
        <f t="shared" si="19"/>
        <v>0.35283599999999998</v>
      </c>
      <c r="AI247">
        <v>2</v>
      </c>
      <c r="AJ247">
        <v>5</v>
      </c>
      <c r="AK247">
        <v>5</v>
      </c>
      <c r="AL247">
        <v>3</v>
      </c>
      <c r="AM247">
        <v>3</v>
      </c>
      <c r="AN247">
        <f t="shared" si="20"/>
        <v>450</v>
      </c>
      <c r="AO247" cm="1">
        <f t="array" ref="AO247">PRODUCT(_xlfn.XLOOKUP(AI247:AM247,$B$3:$B$6,$C$3:$C$6))</f>
        <v>9.4089599999999998E-4</v>
      </c>
      <c r="AP247">
        <f t="shared" si="21"/>
        <v>0.42340319999999998</v>
      </c>
    </row>
    <row r="248" spans="26:42" x14ac:dyDescent="0.2">
      <c r="Z248">
        <v>5</v>
      </c>
      <c r="AA248">
        <v>5</v>
      </c>
      <c r="AB248">
        <v>3</v>
      </c>
      <c r="AC248">
        <v>4</v>
      </c>
      <c r="AD248">
        <f t="shared" si="18"/>
        <v>300</v>
      </c>
      <c r="AE248" cm="1">
        <f t="array" ref="AE248">PRODUCT(_xlfn.XLOOKUP(Z248:AC248,$B$3:$B$6,$C$3:$C$6))</f>
        <v>0</v>
      </c>
      <c r="AF248">
        <f t="shared" si="19"/>
        <v>0</v>
      </c>
      <c r="AI248">
        <v>2</v>
      </c>
      <c r="AJ248">
        <v>5</v>
      </c>
      <c r="AK248">
        <v>5</v>
      </c>
      <c r="AL248">
        <v>3</v>
      </c>
      <c r="AM248">
        <v>4</v>
      </c>
      <c r="AN248">
        <f t="shared" si="20"/>
        <v>600</v>
      </c>
      <c r="AO248" cm="1">
        <f t="array" ref="AO248">PRODUCT(_xlfn.XLOOKUP(AI248:AM248,$B$3:$B$6,$C$3:$C$6))</f>
        <v>0</v>
      </c>
      <c r="AP248">
        <f t="shared" si="21"/>
        <v>0</v>
      </c>
    </row>
    <row r="249" spans="26:42" x14ac:dyDescent="0.2">
      <c r="Z249">
        <v>5</v>
      </c>
      <c r="AA249">
        <v>5</v>
      </c>
      <c r="AB249">
        <v>3</v>
      </c>
      <c r="AC249">
        <v>5</v>
      </c>
      <c r="AD249">
        <f t="shared" si="18"/>
        <v>375</v>
      </c>
      <c r="AE249" cm="1">
        <f t="array" ref="AE249">PRODUCT(_xlfn.XLOOKUP(Z249:AC249,$B$3:$B$6,$C$3:$C$6))</f>
        <v>1.2830399999999998E-3</v>
      </c>
      <c r="AF249">
        <f t="shared" si="19"/>
        <v>0.48113999999999996</v>
      </c>
      <c r="AI249">
        <v>2</v>
      </c>
      <c r="AJ249">
        <v>5</v>
      </c>
      <c r="AK249">
        <v>5</v>
      </c>
      <c r="AL249">
        <v>3</v>
      </c>
      <c r="AM249">
        <v>5</v>
      </c>
      <c r="AN249">
        <f t="shared" si="20"/>
        <v>750</v>
      </c>
      <c r="AO249" cm="1">
        <f t="array" ref="AO249">PRODUCT(_xlfn.XLOOKUP(AI249:AM249,$B$3:$B$6,$C$3:$C$6))</f>
        <v>7.698239999999999E-4</v>
      </c>
      <c r="AP249">
        <f t="shared" si="21"/>
        <v>0.57736799999999988</v>
      </c>
    </row>
    <row r="250" spans="26:42" x14ac:dyDescent="0.2">
      <c r="Z250">
        <v>5</v>
      </c>
      <c r="AA250">
        <v>5</v>
      </c>
      <c r="AB250">
        <v>4</v>
      </c>
      <c r="AC250">
        <v>2</v>
      </c>
      <c r="AD250">
        <f t="shared" si="18"/>
        <v>200</v>
      </c>
      <c r="AE250" cm="1">
        <f t="array" ref="AE250">PRODUCT(_xlfn.XLOOKUP(Z250:AC250,$B$3:$B$6,$C$3:$C$6))</f>
        <v>0</v>
      </c>
      <c r="AF250">
        <f t="shared" si="19"/>
        <v>0</v>
      </c>
      <c r="AI250">
        <v>2</v>
      </c>
      <c r="AJ250">
        <v>5</v>
      </c>
      <c r="AK250">
        <v>5</v>
      </c>
      <c r="AL250">
        <v>4</v>
      </c>
      <c r="AM250">
        <v>2</v>
      </c>
      <c r="AN250">
        <f t="shared" si="20"/>
        <v>400</v>
      </c>
      <c r="AO250" cm="1">
        <f t="array" ref="AO250">PRODUCT(_xlfn.XLOOKUP(AI250:AM250,$B$3:$B$6,$C$3:$C$6))</f>
        <v>0</v>
      </c>
      <c r="AP250">
        <f t="shared" si="21"/>
        <v>0</v>
      </c>
    </row>
    <row r="251" spans="26:42" x14ac:dyDescent="0.2">
      <c r="Z251">
        <v>5</v>
      </c>
      <c r="AA251">
        <v>5</v>
      </c>
      <c r="AB251">
        <v>4</v>
      </c>
      <c r="AC251">
        <v>3</v>
      </c>
      <c r="AD251">
        <f t="shared" si="18"/>
        <v>300</v>
      </c>
      <c r="AE251" cm="1">
        <f t="array" ref="AE251">PRODUCT(_xlfn.XLOOKUP(Z251:AC251,$B$3:$B$6,$C$3:$C$6))</f>
        <v>0</v>
      </c>
      <c r="AF251">
        <f t="shared" si="19"/>
        <v>0</v>
      </c>
      <c r="AI251">
        <v>2</v>
      </c>
      <c r="AJ251">
        <v>5</v>
      </c>
      <c r="AK251">
        <v>5</v>
      </c>
      <c r="AL251">
        <v>4</v>
      </c>
      <c r="AM251">
        <v>3</v>
      </c>
      <c r="AN251">
        <f t="shared" si="20"/>
        <v>600</v>
      </c>
      <c r="AO251" cm="1">
        <f t="array" ref="AO251">PRODUCT(_xlfn.XLOOKUP(AI251:AM251,$B$3:$B$6,$C$3:$C$6))</f>
        <v>0</v>
      </c>
      <c r="AP251">
        <f t="shared" si="21"/>
        <v>0</v>
      </c>
    </row>
    <row r="252" spans="26:42" x14ac:dyDescent="0.2">
      <c r="Z252">
        <v>5</v>
      </c>
      <c r="AA252">
        <v>5</v>
      </c>
      <c r="AB252">
        <v>4</v>
      </c>
      <c r="AC252">
        <v>4</v>
      </c>
      <c r="AD252">
        <f t="shared" si="18"/>
        <v>400</v>
      </c>
      <c r="AE252" cm="1">
        <f t="array" ref="AE252">PRODUCT(_xlfn.XLOOKUP(Z252:AC252,$B$3:$B$6,$C$3:$C$6))</f>
        <v>0</v>
      </c>
      <c r="AF252">
        <f t="shared" si="19"/>
        <v>0</v>
      </c>
      <c r="AI252">
        <v>2</v>
      </c>
      <c r="AJ252">
        <v>5</v>
      </c>
      <c r="AK252">
        <v>5</v>
      </c>
      <c r="AL252">
        <v>4</v>
      </c>
      <c r="AM252">
        <v>4</v>
      </c>
      <c r="AN252">
        <f t="shared" si="20"/>
        <v>800</v>
      </c>
      <c r="AO252" cm="1">
        <f t="array" ref="AO252">PRODUCT(_xlfn.XLOOKUP(AI252:AM252,$B$3:$B$6,$C$3:$C$6))</f>
        <v>0</v>
      </c>
      <c r="AP252">
        <f t="shared" si="21"/>
        <v>0</v>
      </c>
    </row>
    <row r="253" spans="26:42" x14ac:dyDescent="0.2">
      <c r="Z253">
        <v>5</v>
      </c>
      <c r="AA253">
        <v>5</v>
      </c>
      <c r="AB253">
        <v>4</v>
      </c>
      <c r="AC253">
        <v>5</v>
      </c>
      <c r="AD253">
        <f t="shared" si="18"/>
        <v>500</v>
      </c>
      <c r="AE253" cm="1">
        <f t="array" ref="AE253">PRODUCT(_xlfn.XLOOKUP(Z253:AC253,$B$3:$B$6,$C$3:$C$6))</f>
        <v>0</v>
      </c>
      <c r="AF253">
        <f t="shared" si="19"/>
        <v>0</v>
      </c>
      <c r="AI253">
        <v>2</v>
      </c>
      <c r="AJ253">
        <v>5</v>
      </c>
      <c r="AK253">
        <v>5</v>
      </c>
      <c r="AL253">
        <v>4</v>
      </c>
      <c r="AM253">
        <v>5</v>
      </c>
      <c r="AN253">
        <f t="shared" si="20"/>
        <v>1000</v>
      </c>
      <c r="AO253" cm="1">
        <f t="array" ref="AO253">PRODUCT(_xlfn.XLOOKUP(AI253:AM253,$B$3:$B$6,$C$3:$C$6))</f>
        <v>0</v>
      </c>
      <c r="AP253">
        <f t="shared" si="21"/>
        <v>0</v>
      </c>
    </row>
    <row r="254" spans="26:42" x14ac:dyDescent="0.2">
      <c r="Z254">
        <v>5</v>
      </c>
      <c r="AA254">
        <v>5</v>
      </c>
      <c r="AB254">
        <v>5</v>
      </c>
      <c r="AC254">
        <v>2</v>
      </c>
      <c r="AD254">
        <f t="shared" si="18"/>
        <v>250</v>
      </c>
      <c r="AE254" cm="1">
        <f t="array" ref="AE254">PRODUCT(_xlfn.XLOOKUP(Z254:AC254,$B$3:$B$6,$C$3:$C$6))</f>
        <v>3.4991999999999996E-3</v>
      </c>
      <c r="AF254">
        <f t="shared" si="19"/>
        <v>0.87479999999999991</v>
      </c>
      <c r="AI254">
        <v>2</v>
      </c>
      <c r="AJ254">
        <v>5</v>
      </c>
      <c r="AK254">
        <v>5</v>
      </c>
      <c r="AL254">
        <v>5</v>
      </c>
      <c r="AM254">
        <v>2</v>
      </c>
      <c r="AN254">
        <f t="shared" si="20"/>
        <v>500</v>
      </c>
      <c r="AO254" cm="1">
        <f t="array" ref="AO254">PRODUCT(_xlfn.XLOOKUP(AI254:AM254,$B$3:$B$6,$C$3:$C$6))</f>
        <v>2.0995199999999997E-3</v>
      </c>
      <c r="AP254">
        <f t="shared" si="21"/>
        <v>1.0497599999999998</v>
      </c>
    </row>
    <row r="255" spans="26:42" x14ac:dyDescent="0.2">
      <c r="Z255">
        <v>5</v>
      </c>
      <c r="AA255">
        <v>5</v>
      </c>
      <c r="AB255">
        <v>5</v>
      </c>
      <c r="AC255">
        <v>3</v>
      </c>
      <c r="AD255">
        <f t="shared" si="18"/>
        <v>375</v>
      </c>
      <c r="AE255" cm="1">
        <f t="array" ref="AE255">PRODUCT(_xlfn.XLOOKUP(Z255:AC255,$B$3:$B$6,$C$3:$C$6))</f>
        <v>1.2830399999999998E-3</v>
      </c>
      <c r="AF255">
        <f t="shared" si="19"/>
        <v>0.48113999999999996</v>
      </c>
      <c r="AI255">
        <v>2</v>
      </c>
      <c r="AJ255">
        <v>5</v>
      </c>
      <c r="AK255">
        <v>5</v>
      </c>
      <c r="AL255">
        <v>5</v>
      </c>
      <c r="AM255">
        <v>3</v>
      </c>
      <c r="AN255">
        <f t="shared" si="20"/>
        <v>750</v>
      </c>
      <c r="AO255" cm="1">
        <f t="array" ref="AO255">PRODUCT(_xlfn.XLOOKUP(AI255:AM255,$B$3:$B$6,$C$3:$C$6))</f>
        <v>7.698239999999999E-4</v>
      </c>
      <c r="AP255">
        <f t="shared" si="21"/>
        <v>0.57736799999999988</v>
      </c>
    </row>
    <row r="256" spans="26:42" x14ac:dyDescent="0.2">
      <c r="Z256">
        <v>5</v>
      </c>
      <c r="AA256">
        <v>5</v>
      </c>
      <c r="AB256">
        <v>5</v>
      </c>
      <c r="AC256">
        <v>4</v>
      </c>
      <c r="AD256">
        <f t="shared" si="18"/>
        <v>500</v>
      </c>
      <c r="AE256" cm="1">
        <f t="array" ref="AE256">PRODUCT(_xlfn.XLOOKUP(Z256:AC256,$B$3:$B$6,$C$3:$C$6))</f>
        <v>0</v>
      </c>
      <c r="AF256">
        <f t="shared" si="19"/>
        <v>0</v>
      </c>
      <c r="AI256">
        <v>2</v>
      </c>
      <c r="AJ256">
        <v>5</v>
      </c>
      <c r="AK256">
        <v>5</v>
      </c>
      <c r="AL256">
        <v>5</v>
      </c>
      <c r="AM256">
        <v>4</v>
      </c>
      <c r="AN256">
        <f t="shared" si="20"/>
        <v>1000</v>
      </c>
      <c r="AO256" cm="1">
        <f t="array" ref="AO256">PRODUCT(_xlfn.XLOOKUP(AI256:AM256,$B$3:$B$6,$C$3:$C$6))</f>
        <v>0</v>
      </c>
      <c r="AP256">
        <f t="shared" si="21"/>
        <v>0</v>
      </c>
    </row>
    <row r="257" spans="26:42" x14ac:dyDescent="0.2">
      <c r="Z257">
        <v>5</v>
      </c>
      <c r="AA257">
        <v>5</v>
      </c>
      <c r="AB257">
        <v>5</v>
      </c>
      <c r="AC257">
        <v>5</v>
      </c>
      <c r="AD257">
        <f t="shared" si="18"/>
        <v>625</v>
      </c>
      <c r="AE257" cm="1">
        <f t="array" ref="AE257">PRODUCT(_xlfn.XLOOKUP(Z257:AC257,$B$3:$B$6,$C$3:$C$6))</f>
        <v>1.0497599999999998E-3</v>
      </c>
      <c r="AF257">
        <f t="shared" si="19"/>
        <v>0.65609999999999991</v>
      </c>
      <c r="AI257">
        <v>2</v>
      </c>
      <c r="AJ257">
        <v>5</v>
      </c>
      <c r="AK257">
        <v>5</v>
      </c>
      <c r="AL257">
        <v>5</v>
      </c>
      <c r="AM257">
        <v>5</v>
      </c>
      <c r="AN257">
        <f t="shared" si="20"/>
        <v>1250</v>
      </c>
      <c r="AO257" cm="1">
        <f t="array" ref="AO257">PRODUCT(_xlfn.XLOOKUP(AI257:AM257,$B$3:$B$6,$C$3:$C$6))</f>
        <v>6.2985599999999993E-4</v>
      </c>
      <c r="AP257">
        <f t="shared" si="21"/>
        <v>0.78731999999999991</v>
      </c>
    </row>
    <row r="258" spans="26:42" x14ac:dyDescent="0.2">
      <c r="AI258">
        <v>3</v>
      </c>
      <c r="AJ258">
        <v>2</v>
      </c>
      <c r="AK258">
        <v>2</v>
      </c>
      <c r="AL258">
        <v>2</v>
      </c>
      <c r="AM258">
        <v>2</v>
      </c>
      <c r="AN258">
        <f t="shared" si="20"/>
        <v>48</v>
      </c>
      <c r="AO258" cm="1">
        <f t="array" ref="AO258">PRODUCT(_xlfn.XLOOKUP(AI258:AM258,$B$3:$B$6,$C$3:$C$6))</f>
        <v>2.8511999999999999E-2</v>
      </c>
      <c r="AP258">
        <f t="shared" si="21"/>
        <v>1.368576</v>
      </c>
    </row>
    <row r="259" spans="26:42" x14ac:dyDescent="0.2">
      <c r="AI259">
        <v>3</v>
      </c>
      <c r="AJ259">
        <v>2</v>
      </c>
      <c r="AK259">
        <v>2</v>
      </c>
      <c r="AL259">
        <v>2</v>
      </c>
      <c r="AM259">
        <v>3</v>
      </c>
      <c r="AN259">
        <f t="shared" ref="AN259:AN322" si="22">PRODUCT(AI259:AM259)</f>
        <v>72</v>
      </c>
      <c r="AO259" cm="1">
        <f t="array" ref="AO259">PRODUCT(_xlfn.XLOOKUP(AI259:AM259,$B$3:$B$6,$C$3:$C$6))</f>
        <v>1.0454400000000001E-2</v>
      </c>
      <c r="AP259">
        <f t="shared" ref="AP259:AP322" si="23">AN259*AO259</f>
        <v>0.75271680000000007</v>
      </c>
    </row>
    <row r="260" spans="26:42" x14ac:dyDescent="0.2">
      <c r="AI260">
        <v>3</v>
      </c>
      <c r="AJ260">
        <v>2</v>
      </c>
      <c r="AK260">
        <v>2</v>
      </c>
      <c r="AL260">
        <v>2</v>
      </c>
      <c r="AM260">
        <v>4</v>
      </c>
      <c r="AN260">
        <f t="shared" si="22"/>
        <v>96</v>
      </c>
      <c r="AO260" cm="1">
        <f t="array" ref="AO260">PRODUCT(_xlfn.XLOOKUP(AI260:AM260,$B$3:$B$6,$C$3:$C$6))</f>
        <v>0</v>
      </c>
      <c r="AP260">
        <f t="shared" si="23"/>
        <v>0</v>
      </c>
    </row>
    <row r="261" spans="26:42" x14ac:dyDescent="0.2">
      <c r="AI261">
        <v>3</v>
      </c>
      <c r="AJ261">
        <v>2</v>
      </c>
      <c r="AK261">
        <v>2</v>
      </c>
      <c r="AL261">
        <v>2</v>
      </c>
      <c r="AM261">
        <v>5</v>
      </c>
      <c r="AN261">
        <f t="shared" si="22"/>
        <v>120</v>
      </c>
      <c r="AO261" cm="1">
        <f t="array" ref="AO261">PRODUCT(_xlfn.XLOOKUP(AI261:AM261,$B$3:$B$6,$C$3:$C$6))</f>
        <v>8.5535999999999997E-3</v>
      </c>
      <c r="AP261">
        <f t="shared" si="23"/>
        <v>1.026432</v>
      </c>
    </row>
    <row r="262" spans="26:42" x14ac:dyDescent="0.2">
      <c r="AI262">
        <v>3</v>
      </c>
      <c r="AJ262">
        <v>2</v>
      </c>
      <c r="AK262">
        <v>2</v>
      </c>
      <c r="AL262">
        <v>3</v>
      </c>
      <c r="AM262">
        <v>2</v>
      </c>
      <c r="AN262">
        <f t="shared" si="22"/>
        <v>72</v>
      </c>
      <c r="AO262" cm="1">
        <f t="array" ref="AO262">PRODUCT(_xlfn.XLOOKUP(AI262:AM262,$B$3:$B$6,$C$3:$C$6))</f>
        <v>1.0454400000000001E-2</v>
      </c>
      <c r="AP262">
        <f t="shared" si="23"/>
        <v>0.75271680000000007</v>
      </c>
    </row>
    <row r="263" spans="26:42" x14ac:dyDescent="0.2">
      <c r="AI263">
        <v>3</v>
      </c>
      <c r="AJ263">
        <v>2</v>
      </c>
      <c r="AK263">
        <v>2</v>
      </c>
      <c r="AL263">
        <v>3</v>
      </c>
      <c r="AM263">
        <v>3</v>
      </c>
      <c r="AN263">
        <f t="shared" si="22"/>
        <v>108</v>
      </c>
      <c r="AO263" cm="1">
        <f t="array" ref="AO263">PRODUCT(_xlfn.XLOOKUP(AI263:AM263,$B$3:$B$6,$C$3:$C$6))</f>
        <v>3.8332800000000005E-3</v>
      </c>
      <c r="AP263">
        <f t="shared" si="23"/>
        <v>0.41399424000000007</v>
      </c>
    </row>
    <row r="264" spans="26:42" x14ac:dyDescent="0.2">
      <c r="AI264">
        <v>3</v>
      </c>
      <c r="AJ264">
        <v>2</v>
      </c>
      <c r="AK264">
        <v>2</v>
      </c>
      <c r="AL264">
        <v>3</v>
      </c>
      <c r="AM264">
        <v>4</v>
      </c>
      <c r="AN264">
        <f t="shared" si="22"/>
        <v>144</v>
      </c>
      <c r="AO264" cm="1">
        <f t="array" ref="AO264">PRODUCT(_xlfn.XLOOKUP(AI264:AM264,$B$3:$B$6,$C$3:$C$6))</f>
        <v>0</v>
      </c>
      <c r="AP264">
        <f t="shared" si="23"/>
        <v>0</v>
      </c>
    </row>
    <row r="265" spans="26:42" x14ac:dyDescent="0.2">
      <c r="AI265">
        <v>3</v>
      </c>
      <c r="AJ265">
        <v>2</v>
      </c>
      <c r="AK265">
        <v>2</v>
      </c>
      <c r="AL265">
        <v>3</v>
      </c>
      <c r="AM265">
        <v>5</v>
      </c>
      <c r="AN265">
        <f t="shared" si="22"/>
        <v>180</v>
      </c>
      <c r="AO265" cm="1">
        <f t="array" ref="AO265">PRODUCT(_xlfn.XLOOKUP(AI265:AM265,$B$3:$B$6,$C$3:$C$6))</f>
        <v>3.1363200000000002E-3</v>
      </c>
      <c r="AP265">
        <f t="shared" si="23"/>
        <v>0.56453760000000008</v>
      </c>
    </row>
    <row r="266" spans="26:42" x14ac:dyDescent="0.2">
      <c r="AI266">
        <v>3</v>
      </c>
      <c r="AJ266">
        <v>2</v>
      </c>
      <c r="AK266">
        <v>2</v>
      </c>
      <c r="AL266">
        <v>4</v>
      </c>
      <c r="AM266">
        <v>2</v>
      </c>
      <c r="AN266">
        <f t="shared" si="22"/>
        <v>96</v>
      </c>
      <c r="AO266" cm="1">
        <f t="array" ref="AO266">PRODUCT(_xlfn.XLOOKUP(AI266:AM266,$B$3:$B$6,$C$3:$C$6))</f>
        <v>0</v>
      </c>
      <c r="AP266">
        <f t="shared" si="23"/>
        <v>0</v>
      </c>
    </row>
    <row r="267" spans="26:42" x14ac:dyDescent="0.2">
      <c r="AI267">
        <v>3</v>
      </c>
      <c r="AJ267">
        <v>2</v>
      </c>
      <c r="AK267">
        <v>2</v>
      </c>
      <c r="AL267">
        <v>4</v>
      </c>
      <c r="AM267">
        <v>3</v>
      </c>
      <c r="AN267">
        <f t="shared" si="22"/>
        <v>144</v>
      </c>
      <c r="AO267" cm="1">
        <f t="array" ref="AO267">PRODUCT(_xlfn.XLOOKUP(AI267:AM267,$B$3:$B$6,$C$3:$C$6))</f>
        <v>0</v>
      </c>
      <c r="AP267">
        <f t="shared" si="23"/>
        <v>0</v>
      </c>
    </row>
    <row r="268" spans="26:42" x14ac:dyDescent="0.2">
      <c r="AI268">
        <v>3</v>
      </c>
      <c r="AJ268">
        <v>2</v>
      </c>
      <c r="AK268">
        <v>2</v>
      </c>
      <c r="AL268">
        <v>4</v>
      </c>
      <c r="AM268">
        <v>4</v>
      </c>
      <c r="AN268">
        <f t="shared" si="22"/>
        <v>192</v>
      </c>
      <c r="AO268" cm="1">
        <f t="array" ref="AO268">PRODUCT(_xlfn.XLOOKUP(AI268:AM268,$B$3:$B$6,$C$3:$C$6))</f>
        <v>0</v>
      </c>
      <c r="AP268">
        <f t="shared" si="23"/>
        <v>0</v>
      </c>
    </row>
    <row r="269" spans="26:42" x14ac:dyDescent="0.2">
      <c r="AI269">
        <v>3</v>
      </c>
      <c r="AJ269">
        <v>2</v>
      </c>
      <c r="AK269">
        <v>2</v>
      </c>
      <c r="AL269">
        <v>4</v>
      </c>
      <c r="AM269">
        <v>5</v>
      </c>
      <c r="AN269">
        <f t="shared" si="22"/>
        <v>240</v>
      </c>
      <c r="AO269" cm="1">
        <f t="array" ref="AO269">PRODUCT(_xlfn.XLOOKUP(AI269:AM269,$B$3:$B$6,$C$3:$C$6))</f>
        <v>0</v>
      </c>
      <c r="AP269">
        <f t="shared" si="23"/>
        <v>0</v>
      </c>
    </row>
    <row r="270" spans="26:42" x14ac:dyDescent="0.2">
      <c r="AI270">
        <v>3</v>
      </c>
      <c r="AJ270">
        <v>2</v>
      </c>
      <c r="AK270">
        <v>2</v>
      </c>
      <c r="AL270">
        <v>5</v>
      </c>
      <c r="AM270">
        <v>2</v>
      </c>
      <c r="AN270">
        <f t="shared" si="22"/>
        <v>120</v>
      </c>
      <c r="AO270" cm="1">
        <f t="array" ref="AO270">PRODUCT(_xlfn.XLOOKUP(AI270:AM270,$B$3:$B$6,$C$3:$C$6))</f>
        <v>8.5535999999999997E-3</v>
      </c>
      <c r="AP270">
        <f t="shared" si="23"/>
        <v>1.026432</v>
      </c>
    </row>
    <row r="271" spans="26:42" x14ac:dyDescent="0.2">
      <c r="AI271">
        <v>3</v>
      </c>
      <c r="AJ271">
        <v>2</v>
      </c>
      <c r="AK271">
        <v>2</v>
      </c>
      <c r="AL271">
        <v>5</v>
      </c>
      <c r="AM271">
        <v>3</v>
      </c>
      <c r="AN271">
        <f t="shared" si="22"/>
        <v>180</v>
      </c>
      <c r="AO271" cm="1">
        <f t="array" ref="AO271">PRODUCT(_xlfn.XLOOKUP(AI271:AM271,$B$3:$B$6,$C$3:$C$6))</f>
        <v>3.1363200000000002E-3</v>
      </c>
      <c r="AP271">
        <f t="shared" si="23"/>
        <v>0.56453760000000008</v>
      </c>
    </row>
    <row r="272" spans="26:42" x14ac:dyDescent="0.2">
      <c r="AI272">
        <v>3</v>
      </c>
      <c r="AJ272">
        <v>2</v>
      </c>
      <c r="AK272">
        <v>2</v>
      </c>
      <c r="AL272">
        <v>5</v>
      </c>
      <c r="AM272">
        <v>4</v>
      </c>
      <c r="AN272">
        <f t="shared" si="22"/>
        <v>240</v>
      </c>
      <c r="AO272" cm="1">
        <f t="array" ref="AO272">PRODUCT(_xlfn.XLOOKUP(AI272:AM272,$B$3:$B$6,$C$3:$C$6))</f>
        <v>0</v>
      </c>
      <c r="AP272">
        <f t="shared" si="23"/>
        <v>0</v>
      </c>
    </row>
    <row r="273" spans="35:42" x14ac:dyDescent="0.2">
      <c r="AI273">
        <v>3</v>
      </c>
      <c r="AJ273">
        <v>2</v>
      </c>
      <c r="AK273">
        <v>2</v>
      </c>
      <c r="AL273">
        <v>5</v>
      </c>
      <c r="AM273">
        <v>5</v>
      </c>
      <c r="AN273">
        <f t="shared" si="22"/>
        <v>300</v>
      </c>
      <c r="AO273" cm="1">
        <f t="array" ref="AO273">PRODUCT(_xlfn.XLOOKUP(AI273:AM273,$B$3:$B$6,$C$3:$C$6))</f>
        <v>2.5660800000000001E-3</v>
      </c>
      <c r="AP273">
        <f t="shared" si="23"/>
        <v>0.76982400000000006</v>
      </c>
    </row>
    <row r="274" spans="35:42" x14ac:dyDescent="0.2">
      <c r="AI274">
        <v>3</v>
      </c>
      <c r="AJ274">
        <v>2</v>
      </c>
      <c r="AK274">
        <v>3</v>
      </c>
      <c r="AL274">
        <v>2</v>
      </c>
      <c r="AM274">
        <v>2</v>
      </c>
      <c r="AN274">
        <f t="shared" si="22"/>
        <v>72</v>
      </c>
      <c r="AO274" cm="1">
        <f t="array" ref="AO274">PRODUCT(_xlfn.XLOOKUP(AI274:AM274,$B$3:$B$6,$C$3:$C$6))</f>
        <v>1.0454399999999999E-2</v>
      </c>
      <c r="AP274">
        <f t="shared" si="23"/>
        <v>0.75271679999999996</v>
      </c>
    </row>
    <row r="275" spans="35:42" x14ac:dyDescent="0.2">
      <c r="AI275">
        <v>3</v>
      </c>
      <c r="AJ275">
        <v>2</v>
      </c>
      <c r="AK275">
        <v>3</v>
      </c>
      <c r="AL275">
        <v>2</v>
      </c>
      <c r="AM275">
        <v>3</v>
      </c>
      <c r="AN275">
        <f t="shared" si="22"/>
        <v>108</v>
      </c>
      <c r="AO275" cm="1">
        <f t="array" ref="AO275">PRODUCT(_xlfn.XLOOKUP(AI275:AM275,$B$3:$B$6,$C$3:$C$6))</f>
        <v>3.8332799999999997E-3</v>
      </c>
      <c r="AP275">
        <f t="shared" si="23"/>
        <v>0.41399423999999996</v>
      </c>
    </row>
    <row r="276" spans="35:42" x14ac:dyDescent="0.2">
      <c r="AI276">
        <v>3</v>
      </c>
      <c r="AJ276">
        <v>2</v>
      </c>
      <c r="AK276">
        <v>3</v>
      </c>
      <c r="AL276">
        <v>2</v>
      </c>
      <c r="AM276">
        <v>4</v>
      </c>
      <c r="AN276">
        <f t="shared" si="22"/>
        <v>144</v>
      </c>
      <c r="AO276" cm="1">
        <f t="array" ref="AO276">PRODUCT(_xlfn.XLOOKUP(AI276:AM276,$B$3:$B$6,$C$3:$C$6))</f>
        <v>0</v>
      </c>
      <c r="AP276">
        <f t="shared" si="23"/>
        <v>0</v>
      </c>
    </row>
    <row r="277" spans="35:42" x14ac:dyDescent="0.2">
      <c r="AI277">
        <v>3</v>
      </c>
      <c r="AJ277">
        <v>2</v>
      </c>
      <c r="AK277">
        <v>3</v>
      </c>
      <c r="AL277">
        <v>2</v>
      </c>
      <c r="AM277">
        <v>5</v>
      </c>
      <c r="AN277">
        <f t="shared" si="22"/>
        <v>180</v>
      </c>
      <c r="AO277" cm="1">
        <f t="array" ref="AO277">PRODUCT(_xlfn.XLOOKUP(AI277:AM277,$B$3:$B$6,$C$3:$C$6))</f>
        <v>3.1363199999999997E-3</v>
      </c>
      <c r="AP277">
        <f t="shared" si="23"/>
        <v>0.56453759999999997</v>
      </c>
    </row>
    <row r="278" spans="35:42" x14ac:dyDescent="0.2">
      <c r="AI278">
        <v>3</v>
      </c>
      <c r="AJ278">
        <v>2</v>
      </c>
      <c r="AK278">
        <v>3</v>
      </c>
      <c r="AL278">
        <v>3</v>
      </c>
      <c r="AM278">
        <v>2</v>
      </c>
      <c r="AN278">
        <f t="shared" si="22"/>
        <v>108</v>
      </c>
      <c r="AO278" cm="1">
        <f t="array" ref="AO278">PRODUCT(_xlfn.XLOOKUP(AI278:AM278,$B$3:$B$6,$C$3:$C$6))</f>
        <v>3.8332799999999997E-3</v>
      </c>
      <c r="AP278">
        <f t="shared" si="23"/>
        <v>0.41399423999999996</v>
      </c>
    </row>
    <row r="279" spans="35:42" x14ac:dyDescent="0.2">
      <c r="AI279">
        <v>3</v>
      </c>
      <c r="AJ279">
        <v>2</v>
      </c>
      <c r="AK279">
        <v>3</v>
      </c>
      <c r="AL279">
        <v>3</v>
      </c>
      <c r="AM279">
        <v>3</v>
      </c>
      <c r="AN279">
        <f t="shared" si="22"/>
        <v>162</v>
      </c>
      <c r="AO279" cm="1">
        <f t="array" ref="AO279">PRODUCT(_xlfn.XLOOKUP(AI279:AM279,$B$3:$B$6,$C$3:$C$6))</f>
        <v>1.405536E-3</v>
      </c>
      <c r="AP279">
        <f t="shared" si="23"/>
        <v>0.22769683199999999</v>
      </c>
    </row>
    <row r="280" spans="35:42" x14ac:dyDescent="0.2">
      <c r="AI280">
        <v>3</v>
      </c>
      <c r="AJ280">
        <v>2</v>
      </c>
      <c r="AK280">
        <v>3</v>
      </c>
      <c r="AL280">
        <v>3</v>
      </c>
      <c r="AM280">
        <v>4</v>
      </c>
      <c r="AN280">
        <f t="shared" si="22"/>
        <v>216</v>
      </c>
      <c r="AO280" cm="1">
        <f t="array" ref="AO280">PRODUCT(_xlfn.XLOOKUP(AI280:AM280,$B$3:$B$6,$C$3:$C$6))</f>
        <v>0</v>
      </c>
      <c r="AP280">
        <f t="shared" si="23"/>
        <v>0</v>
      </c>
    </row>
    <row r="281" spans="35:42" x14ac:dyDescent="0.2">
      <c r="AI281">
        <v>3</v>
      </c>
      <c r="AJ281">
        <v>2</v>
      </c>
      <c r="AK281">
        <v>3</v>
      </c>
      <c r="AL281">
        <v>3</v>
      </c>
      <c r="AM281">
        <v>5</v>
      </c>
      <c r="AN281">
        <f t="shared" si="22"/>
        <v>270</v>
      </c>
      <c r="AO281" cm="1">
        <f t="array" ref="AO281">PRODUCT(_xlfn.XLOOKUP(AI281:AM281,$B$3:$B$6,$C$3:$C$6))</f>
        <v>1.1499839999999999E-3</v>
      </c>
      <c r="AP281">
        <f t="shared" si="23"/>
        <v>0.31049568</v>
      </c>
    </row>
    <row r="282" spans="35:42" x14ac:dyDescent="0.2">
      <c r="AI282">
        <v>3</v>
      </c>
      <c r="AJ282">
        <v>2</v>
      </c>
      <c r="AK282">
        <v>3</v>
      </c>
      <c r="AL282">
        <v>4</v>
      </c>
      <c r="AM282">
        <v>2</v>
      </c>
      <c r="AN282">
        <f t="shared" si="22"/>
        <v>144</v>
      </c>
      <c r="AO282" cm="1">
        <f t="array" ref="AO282">PRODUCT(_xlfn.XLOOKUP(AI282:AM282,$B$3:$B$6,$C$3:$C$6))</f>
        <v>0</v>
      </c>
      <c r="AP282">
        <f t="shared" si="23"/>
        <v>0</v>
      </c>
    </row>
    <row r="283" spans="35:42" x14ac:dyDescent="0.2">
      <c r="AI283">
        <v>3</v>
      </c>
      <c r="AJ283">
        <v>2</v>
      </c>
      <c r="AK283">
        <v>3</v>
      </c>
      <c r="AL283">
        <v>4</v>
      </c>
      <c r="AM283">
        <v>3</v>
      </c>
      <c r="AN283">
        <f t="shared" si="22"/>
        <v>216</v>
      </c>
      <c r="AO283" cm="1">
        <f t="array" ref="AO283">PRODUCT(_xlfn.XLOOKUP(AI283:AM283,$B$3:$B$6,$C$3:$C$6))</f>
        <v>0</v>
      </c>
      <c r="AP283">
        <f t="shared" si="23"/>
        <v>0</v>
      </c>
    </row>
    <row r="284" spans="35:42" x14ac:dyDescent="0.2">
      <c r="AI284">
        <v>3</v>
      </c>
      <c r="AJ284">
        <v>2</v>
      </c>
      <c r="AK284">
        <v>3</v>
      </c>
      <c r="AL284">
        <v>4</v>
      </c>
      <c r="AM284">
        <v>4</v>
      </c>
      <c r="AN284">
        <f t="shared" si="22"/>
        <v>288</v>
      </c>
      <c r="AO284" cm="1">
        <f t="array" ref="AO284">PRODUCT(_xlfn.XLOOKUP(AI284:AM284,$B$3:$B$6,$C$3:$C$6))</f>
        <v>0</v>
      </c>
      <c r="AP284">
        <f t="shared" si="23"/>
        <v>0</v>
      </c>
    </row>
    <row r="285" spans="35:42" x14ac:dyDescent="0.2">
      <c r="AI285">
        <v>3</v>
      </c>
      <c r="AJ285">
        <v>2</v>
      </c>
      <c r="AK285">
        <v>3</v>
      </c>
      <c r="AL285">
        <v>4</v>
      </c>
      <c r="AM285">
        <v>5</v>
      </c>
      <c r="AN285">
        <f t="shared" si="22"/>
        <v>360</v>
      </c>
      <c r="AO285" cm="1">
        <f t="array" ref="AO285">PRODUCT(_xlfn.XLOOKUP(AI285:AM285,$B$3:$B$6,$C$3:$C$6))</f>
        <v>0</v>
      </c>
      <c r="AP285">
        <f t="shared" si="23"/>
        <v>0</v>
      </c>
    </row>
    <row r="286" spans="35:42" x14ac:dyDescent="0.2">
      <c r="AI286">
        <v>3</v>
      </c>
      <c r="AJ286">
        <v>2</v>
      </c>
      <c r="AK286">
        <v>3</v>
      </c>
      <c r="AL286">
        <v>5</v>
      </c>
      <c r="AM286">
        <v>2</v>
      </c>
      <c r="AN286">
        <f t="shared" si="22"/>
        <v>180</v>
      </c>
      <c r="AO286" cm="1">
        <f t="array" ref="AO286">PRODUCT(_xlfn.XLOOKUP(AI286:AM286,$B$3:$B$6,$C$3:$C$6))</f>
        <v>3.1363199999999997E-3</v>
      </c>
      <c r="AP286">
        <f t="shared" si="23"/>
        <v>0.56453759999999997</v>
      </c>
    </row>
    <row r="287" spans="35:42" x14ac:dyDescent="0.2">
      <c r="AI287">
        <v>3</v>
      </c>
      <c r="AJ287">
        <v>2</v>
      </c>
      <c r="AK287">
        <v>3</v>
      </c>
      <c r="AL287">
        <v>5</v>
      </c>
      <c r="AM287">
        <v>3</v>
      </c>
      <c r="AN287">
        <f t="shared" si="22"/>
        <v>270</v>
      </c>
      <c r="AO287" cm="1">
        <f t="array" ref="AO287">PRODUCT(_xlfn.XLOOKUP(AI287:AM287,$B$3:$B$6,$C$3:$C$6))</f>
        <v>1.1499839999999999E-3</v>
      </c>
      <c r="AP287">
        <f t="shared" si="23"/>
        <v>0.31049568</v>
      </c>
    </row>
    <row r="288" spans="35:42" x14ac:dyDescent="0.2">
      <c r="AI288">
        <v>3</v>
      </c>
      <c r="AJ288">
        <v>2</v>
      </c>
      <c r="AK288">
        <v>3</v>
      </c>
      <c r="AL288">
        <v>5</v>
      </c>
      <c r="AM288">
        <v>4</v>
      </c>
      <c r="AN288">
        <f t="shared" si="22"/>
        <v>360</v>
      </c>
      <c r="AO288" cm="1">
        <f t="array" ref="AO288">PRODUCT(_xlfn.XLOOKUP(AI288:AM288,$B$3:$B$6,$C$3:$C$6))</f>
        <v>0</v>
      </c>
      <c r="AP288">
        <f t="shared" si="23"/>
        <v>0</v>
      </c>
    </row>
    <row r="289" spans="35:42" x14ac:dyDescent="0.2">
      <c r="AI289">
        <v>3</v>
      </c>
      <c r="AJ289">
        <v>2</v>
      </c>
      <c r="AK289">
        <v>3</v>
      </c>
      <c r="AL289">
        <v>5</v>
      </c>
      <c r="AM289">
        <v>5</v>
      </c>
      <c r="AN289">
        <f t="shared" si="22"/>
        <v>450</v>
      </c>
      <c r="AO289" cm="1">
        <f t="array" ref="AO289">PRODUCT(_xlfn.XLOOKUP(AI289:AM289,$B$3:$B$6,$C$3:$C$6))</f>
        <v>9.4089599999999988E-4</v>
      </c>
      <c r="AP289">
        <f t="shared" si="23"/>
        <v>0.42340319999999992</v>
      </c>
    </row>
    <row r="290" spans="35:42" x14ac:dyDescent="0.2">
      <c r="AI290">
        <v>3</v>
      </c>
      <c r="AJ290">
        <v>2</v>
      </c>
      <c r="AK290">
        <v>4</v>
      </c>
      <c r="AL290">
        <v>2</v>
      </c>
      <c r="AM290">
        <v>2</v>
      </c>
      <c r="AN290">
        <f t="shared" si="22"/>
        <v>96</v>
      </c>
      <c r="AO290" cm="1">
        <f t="array" ref="AO290">PRODUCT(_xlfn.XLOOKUP(AI290:AM290,$B$3:$B$6,$C$3:$C$6))</f>
        <v>0</v>
      </c>
      <c r="AP290">
        <f t="shared" si="23"/>
        <v>0</v>
      </c>
    </row>
    <row r="291" spans="35:42" x14ac:dyDescent="0.2">
      <c r="AI291">
        <v>3</v>
      </c>
      <c r="AJ291">
        <v>2</v>
      </c>
      <c r="AK291">
        <v>4</v>
      </c>
      <c r="AL291">
        <v>2</v>
      </c>
      <c r="AM291">
        <v>3</v>
      </c>
      <c r="AN291">
        <f t="shared" si="22"/>
        <v>144</v>
      </c>
      <c r="AO291" cm="1">
        <f t="array" ref="AO291">PRODUCT(_xlfn.XLOOKUP(AI291:AM291,$B$3:$B$6,$C$3:$C$6))</f>
        <v>0</v>
      </c>
      <c r="AP291">
        <f t="shared" si="23"/>
        <v>0</v>
      </c>
    </row>
    <row r="292" spans="35:42" x14ac:dyDescent="0.2">
      <c r="AI292">
        <v>3</v>
      </c>
      <c r="AJ292">
        <v>2</v>
      </c>
      <c r="AK292">
        <v>4</v>
      </c>
      <c r="AL292">
        <v>2</v>
      </c>
      <c r="AM292">
        <v>4</v>
      </c>
      <c r="AN292">
        <f t="shared" si="22"/>
        <v>192</v>
      </c>
      <c r="AO292" cm="1">
        <f t="array" ref="AO292">PRODUCT(_xlfn.XLOOKUP(AI292:AM292,$B$3:$B$6,$C$3:$C$6))</f>
        <v>0</v>
      </c>
      <c r="AP292">
        <f t="shared" si="23"/>
        <v>0</v>
      </c>
    </row>
    <row r="293" spans="35:42" x14ac:dyDescent="0.2">
      <c r="AI293">
        <v>3</v>
      </c>
      <c r="AJ293">
        <v>2</v>
      </c>
      <c r="AK293">
        <v>4</v>
      </c>
      <c r="AL293">
        <v>2</v>
      </c>
      <c r="AM293">
        <v>5</v>
      </c>
      <c r="AN293">
        <f t="shared" si="22"/>
        <v>240</v>
      </c>
      <c r="AO293" cm="1">
        <f t="array" ref="AO293">PRODUCT(_xlfn.XLOOKUP(AI293:AM293,$B$3:$B$6,$C$3:$C$6))</f>
        <v>0</v>
      </c>
      <c r="AP293">
        <f t="shared" si="23"/>
        <v>0</v>
      </c>
    </row>
    <row r="294" spans="35:42" x14ac:dyDescent="0.2">
      <c r="AI294">
        <v>3</v>
      </c>
      <c r="AJ294">
        <v>2</v>
      </c>
      <c r="AK294">
        <v>4</v>
      </c>
      <c r="AL294">
        <v>3</v>
      </c>
      <c r="AM294">
        <v>2</v>
      </c>
      <c r="AN294">
        <f t="shared" si="22"/>
        <v>144</v>
      </c>
      <c r="AO294" cm="1">
        <f t="array" ref="AO294">PRODUCT(_xlfn.XLOOKUP(AI294:AM294,$B$3:$B$6,$C$3:$C$6))</f>
        <v>0</v>
      </c>
      <c r="AP294">
        <f t="shared" si="23"/>
        <v>0</v>
      </c>
    </row>
    <row r="295" spans="35:42" x14ac:dyDescent="0.2">
      <c r="AI295">
        <v>3</v>
      </c>
      <c r="AJ295">
        <v>2</v>
      </c>
      <c r="AK295">
        <v>4</v>
      </c>
      <c r="AL295">
        <v>3</v>
      </c>
      <c r="AM295">
        <v>3</v>
      </c>
      <c r="AN295">
        <f t="shared" si="22"/>
        <v>216</v>
      </c>
      <c r="AO295" cm="1">
        <f t="array" ref="AO295">PRODUCT(_xlfn.XLOOKUP(AI295:AM295,$B$3:$B$6,$C$3:$C$6))</f>
        <v>0</v>
      </c>
      <c r="AP295">
        <f t="shared" si="23"/>
        <v>0</v>
      </c>
    </row>
    <row r="296" spans="35:42" x14ac:dyDescent="0.2">
      <c r="AI296">
        <v>3</v>
      </c>
      <c r="AJ296">
        <v>2</v>
      </c>
      <c r="AK296">
        <v>4</v>
      </c>
      <c r="AL296">
        <v>3</v>
      </c>
      <c r="AM296">
        <v>4</v>
      </c>
      <c r="AN296">
        <f t="shared" si="22"/>
        <v>288</v>
      </c>
      <c r="AO296" cm="1">
        <f t="array" ref="AO296">PRODUCT(_xlfn.XLOOKUP(AI296:AM296,$B$3:$B$6,$C$3:$C$6))</f>
        <v>0</v>
      </c>
      <c r="AP296">
        <f t="shared" si="23"/>
        <v>0</v>
      </c>
    </row>
    <row r="297" spans="35:42" x14ac:dyDescent="0.2">
      <c r="AI297">
        <v>3</v>
      </c>
      <c r="AJ297">
        <v>2</v>
      </c>
      <c r="AK297">
        <v>4</v>
      </c>
      <c r="AL297">
        <v>3</v>
      </c>
      <c r="AM297">
        <v>5</v>
      </c>
      <c r="AN297">
        <f t="shared" si="22"/>
        <v>360</v>
      </c>
      <c r="AO297" cm="1">
        <f t="array" ref="AO297">PRODUCT(_xlfn.XLOOKUP(AI297:AM297,$B$3:$B$6,$C$3:$C$6))</f>
        <v>0</v>
      </c>
      <c r="AP297">
        <f t="shared" si="23"/>
        <v>0</v>
      </c>
    </row>
    <row r="298" spans="35:42" x14ac:dyDescent="0.2">
      <c r="AI298">
        <v>3</v>
      </c>
      <c r="AJ298">
        <v>2</v>
      </c>
      <c r="AK298">
        <v>4</v>
      </c>
      <c r="AL298">
        <v>4</v>
      </c>
      <c r="AM298">
        <v>2</v>
      </c>
      <c r="AN298">
        <f t="shared" si="22"/>
        <v>192</v>
      </c>
      <c r="AO298" cm="1">
        <f t="array" ref="AO298">PRODUCT(_xlfn.XLOOKUP(AI298:AM298,$B$3:$B$6,$C$3:$C$6))</f>
        <v>0</v>
      </c>
      <c r="AP298">
        <f t="shared" si="23"/>
        <v>0</v>
      </c>
    </row>
    <row r="299" spans="35:42" x14ac:dyDescent="0.2">
      <c r="AI299">
        <v>3</v>
      </c>
      <c r="AJ299">
        <v>2</v>
      </c>
      <c r="AK299">
        <v>4</v>
      </c>
      <c r="AL299">
        <v>4</v>
      </c>
      <c r="AM299">
        <v>3</v>
      </c>
      <c r="AN299">
        <f t="shared" si="22"/>
        <v>288</v>
      </c>
      <c r="AO299" cm="1">
        <f t="array" ref="AO299">PRODUCT(_xlfn.XLOOKUP(AI299:AM299,$B$3:$B$6,$C$3:$C$6))</f>
        <v>0</v>
      </c>
      <c r="AP299">
        <f t="shared" si="23"/>
        <v>0</v>
      </c>
    </row>
    <row r="300" spans="35:42" x14ac:dyDescent="0.2">
      <c r="AI300">
        <v>3</v>
      </c>
      <c r="AJ300">
        <v>2</v>
      </c>
      <c r="AK300">
        <v>4</v>
      </c>
      <c r="AL300">
        <v>4</v>
      </c>
      <c r="AM300">
        <v>4</v>
      </c>
      <c r="AN300">
        <f t="shared" si="22"/>
        <v>384</v>
      </c>
      <c r="AO300" cm="1">
        <f t="array" ref="AO300">PRODUCT(_xlfn.XLOOKUP(AI300:AM300,$B$3:$B$6,$C$3:$C$6))</f>
        <v>0</v>
      </c>
      <c r="AP300">
        <f t="shared" si="23"/>
        <v>0</v>
      </c>
    </row>
    <row r="301" spans="35:42" x14ac:dyDescent="0.2">
      <c r="AI301">
        <v>3</v>
      </c>
      <c r="AJ301">
        <v>2</v>
      </c>
      <c r="AK301">
        <v>4</v>
      </c>
      <c r="AL301">
        <v>4</v>
      </c>
      <c r="AM301">
        <v>5</v>
      </c>
      <c r="AN301">
        <f t="shared" si="22"/>
        <v>480</v>
      </c>
      <c r="AO301" cm="1">
        <f t="array" ref="AO301">PRODUCT(_xlfn.XLOOKUP(AI301:AM301,$B$3:$B$6,$C$3:$C$6))</f>
        <v>0</v>
      </c>
      <c r="AP301">
        <f t="shared" si="23"/>
        <v>0</v>
      </c>
    </row>
    <row r="302" spans="35:42" x14ac:dyDescent="0.2">
      <c r="AI302">
        <v>3</v>
      </c>
      <c r="AJ302">
        <v>2</v>
      </c>
      <c r="AK302">
        <v>4</v>
      </c>
      <c r="AL302">
        <v>5</v>
      </c>
      <c r="AM302">
        <v>2</v>
      </c>
      <c r="AN302">
        <f t="shared" si="22"/>
        <v>240</v>
      </c>
      <c r="AO302" cm="1">
        <f t="array" ref="AO302">PRODUCT(_xlfn.XLOOKUP(AI302:AM302,$B$3:$B$6,$C$3:$C$6))</f>
        <v>0</v>
      </c>
      <c r="AP302">
        <f t="shared" si="23"/>
        <v>0</v>
      </c>
    </row>
    <row r="303" spans="35:42" x14ac:dyDescent="0.2">
      <c r="AI303">
        <v>3</v>
      </c>
      <c r="AJ303">
        <v>2</v>
      </c>
      <c r="AK303">
        <v>4</v>
      </c>
      <c r="AL303">
        <v>5</v>
      </c>
      <c r="AM303">
        <v>3</v>
      </c>
      <c r="AN303">
        <f t="shared" si="22"/>
        <v>360</v>
      </c>
      <c r="AO303" cm="1">
        <f t="array" ref="AO303">PRODUCT(_xlfn.XLOOKUP(AI303:AM303,$B$3:$B$6,$C$3:$C$6))</f>
        <v>0</v>
      </c>
      <c r="AP303">
        <f t="shared" si="23"/>
        <v>0</v>
      </c>
    </row>
    <row r="304" spans="35:42" x14ac:dyDescent="0.2">
      <c r="AI304">
        <v>3</v>
      </c>
      <c r="AJ304">
        <v>2</v>
      </c>
      <c r="AK304">
        <v>4</v>
      </c>
      <c r="AL304">
        <v>5</v>
      </c>
      <c r="AM304">
        <v>4</v>
      </c>
      <c r="AN304">
        <f t="shared" si="22"/>
        <v>480</v>
      </c>
      <c r="AO304" cm="1">
        <f t="array" ref="AO304">PRODUCT(_xlfn.XLOOKUP(AI304:AM304,$B$3:$B$6,$C$3:$C$6))</f>
        <v>0</v>
      </c>
      <c r="AP304">
        <f t="shared" si="23"/>
        <v>0</v>
      </c>
    </row>
    <row r="305" spans="35:42" x14ac:dyDescent="0.2">
      <c r="AI305">
        <v>3</v>
      </c>
      <c r="AJ305">
        <v>2</v>
      </c>
      <c r="AK305">
        <v>4</v>
      </c>
      <c r="AL305">
        <v>5</v>
      </c>
      <c r="AM305">
        <v>5</v>
      </c>
      <c r="AN305">
        <f t="shared" si="22"/>
        <v>600</v>
      </c>
      <c r="AO305" cm="1">
        <f t="array" ref="AO305">PRODUCT(_xlfn.XLOOKUP(AI305:AM305,$B$3:$B$6,$C$3:$C$6))</f>
        <v>0</v>
      </c>
      <c r="AP305">
        <f t="shared" si="23"/>
        <v>0</v>
      </c>
    </row>
    <row r="306" spans="35:42" x14ac:dyDescent="0.2">
      <c r="AI306">
        <v>3</v>
      </c>
      <c r="AJ306">
        <v>2</v>
      </c>
      <c r="AK306">
        <v>5</v>
      </c>
      <c r="AL306">
        <v>2</v>
      </c>
      <c r="AM306">
        <v>2</v>
      </c>
      <c r="AN306">
        <f t="shared" si="22"/>
        <v>120</v>
      </c>
      <c r="AO306" cm="1">
        <f t="array" ref="AO306">PRODUCT(_xlfn.XLOOKUP(AI306:AM306,$B$3:$B$6,$C$3:$C$6))</f>
        <v>8.5535999999999997E-3</v>
      </c>
      <c r="AP306">
        <f t="shared" si="23"/>
        <v>1.026432</v>
      </c>
    </row>
    <row r="307" spans="35:42" x14ac:dyDescent="0.2">
      <c r="AI307">
        <v>3</v>
      </c>
      <c r="AJ307">
        <v>2</v>
      </c>
      <c r="AK307">
        <v>5</v>
      </c>
      <c r="AL307">
        <v>2</v>
      </c>
      <c r="AM307">
        <v>3</v>
      </c>
      <c r="AN307">
        <f t="shared" si="22"/>
        <v>180</v>
      </c>
      <c r="AO307" cm="1">
        <f t="array" ref="AO307">PRODUCT(_xlfn.XLOOKUP(AI307:AM307,$B$3:$B$6,$C$3:$C$6))</f>
        <v>3.1363199999999997E-3</v>
      </c>
      <c r="AP307">
        <f t="shared" si="23"/>
        <v>0.56453759999999997</v>
      </c>
    </row>
    <row r="308" spans="35:42" x14ac:dyDescent="0.2">
      <c r="AI308">
        <v>3</v>
      </c>
      <c r="AJ308">
        <v>2</v>
      </c>
      <c r="AK308">
        <v>5</v>
      </c>
      <c r="AL308">
        <v>2</v>
      </c>
      <c r="AM308">
        <v>4</v>
      </c>
      <c r="AN308">
        <f t="shared" si="22"/>
        <v>240</v>
      </c>
      <c r="AO308" cm="1">
        <f t="array" ref="AO308">PRODUCT(_xlfn.XLOOKUP(AI308:AM308,$B$3:$B$6,$C$3:$C$6))</f>
        <v>0</v>
      </c>
      <c r="AP308">
        <f t="shared" si="23"/>
        <v>0</v>
      </c>
    </row>
    <row r="309" spans="35:42" x14ac:dyDescent="0.2">
      <c r="AI309">
        <v>3</v>
      </c>
      <c r="AJ309">
        <v>2</v>
      </c>
      <c r="AK309">
        <v>5</v>
      </c>
      <c r="AL309">
        <v>2</v>
      </c>
      <c r="AM309">
        <v>5</v>
      </c>
      <c r="AN309">
        <f t="shared" si="22"/>
        <v>300</v>
      </c>
      <c r="AO309" cm="1">
        <f t="array" ref="AO309">PRODUCT(_xlfn.XLOOKUP(AI309:AM309,$B$3:$B$6,$C$3:$C$6))</f>
        <v>2.5660799999999997E-3</v>
      </c>
      <c r="AP309">
        <f t="shared" si="23"/>
        <v>0.76982399999999995</v>
      </c>
    </row>
    <row r="310" spans="35:42" x14ac:dyDescent="0.2">
      <c r="AI310">
        <v>3</v>
      </c>
      <c r="AJ310">
        <v>2</v>
      </c>
      <c r="AK310">
        <v>5</v>
      </c>
      <c r="AL310">
        <v>3</v>
      </c>
      <c r="AM310">
        <v>2</v>
      </c>
      <c r="AN310">
        <f t="shared" si="22"/>
        <v>180</v>
      </c>
      <c r="AO310" cm="1">
        <f t="array" ref="AO310">PRODUCT(_xlfn.XLOOKUP(AI310:AM310,$B$3:$B$6,$C$3:$C$6))</f>
        <v>3.1363200000000002E-3</v>
      </c>
      <c r="AP310">
        <f t="shared" si="23"/>
        <v>0.56453760000000008</v>
      </c>
    </row>
    <row r="311" spans="35:42" x14ac:dyDescent="0.2">
      <c r="AI311">
        <v>3</v>
      </c>
      <c r="AJ311">
        <v>2</v>
      </c>
      <c r="AK311">
        <v>5</v>
      </c>
      <c r="AL311">
        <v>3</v>
      </c>
      <c r="AM311">
        <v>3</v>
      </c>
      <c r="AN311">
        <f t="shared" si="22"/>
        <v>270</v>
      </c>
      <c r="AO311" cm="1">
        <f t="array" ref="AO311">PRODUCT(_xlfn.XLOOKUP(AI311:AM311,$B$3:$B$6,$C$3:$C$6))</f>
        <v>1.1499840000000002E-3</v>
      </c>
      <c r="AP311">
        <f t="shared" si="23"/>
        <v>0.31049568000000005</v>
      </c>
    </row>
    <row r="312" spans="35:42" x14ac:dyDescent="0.2">
      <c r="AI312">
        <v>3</v>
      </c>
      <c r="AJ312">
        <v>2</v>
      </c>
      <c r="AK312">
        <v>5</v>
      </c>
      <c r="AL312">
        <v>3</v>
      </c>
      <c r="AM312">
        <v>4</v>
      </c>
      <c r="AN312">
        <f t="shared" si="22"/>
        <v>360</v>
      </c>
      <c r="AO312" cm="1">
        <f t="array" ref="AO312">PRODUCT(_xlfn.XLOOKUP(AI312:AM312,$B$3:$B$6,$C$3:$C$6))</f>
        <v>0</v>
      </c>
      <c r="AP312">
        <f t="shared" si="23"/>
        <v>0</v>
      </c>
    </row>
    <row r="313" spans="35:42" x14ac:dyDescent="0.2">
      <c r="AI313">
        <v>3</v>
      </c>
      <c r="AJ313">
        <v>2</v>
      </c>
      <c r="AK313">
        <v>5</v>
      </c>
      <c r="AL313">
        <v>3</v>
      </c>
      <c r="AM313">
        <v>5</v>
      </c>
      <c r="AN313">
        <f t="shared" si="22"/>
        <v>450</v>
      </c>
      <c r="AO313" cm="1">
        <f t="array" ref="AO313">PRODUCT(_xlfn.XLOOKUP(AI313:AM313,$B$3:$B$6,$C$3:$C$6))</f>
        <v>9.4089600000000009E-4</v>
      </c>
      <c r="AP313">
        <f t="shared" si="23"/>
        <v>0.42340320000000004</v>
      </c>
    </row>
    <row r="314" spans="35:42" x14ac:dyDescent="0.2">
      <c r="AI314">
        <v>3</v>
      </c>
      <c r="AJ314">
        <v>2</v>
      </c>
      <c r="AK314">
        <v>5</v>
      </c>
      <c r="AL314">
        <v>4</v>
      </c>
      <c r="AM314">
        <v>2</v>
      </c>
      <c r="AN314">
        <f t="shared" si="22"/>
        <v>240</v>
      </c>
      <c r="AO314" cm="1">
        <f t="array" ref="AO314">PRODUCT(_xlfn.XLOOKUP(AI314:AM314,$B$3:$B$6,$C$3:$C$6))</f>
        <v>0</v>
      </c>
      <c r="AP314">
        <f t="shared" si="23"/>
        <v>0</v>
      </c>
    </row>
    <row r="315" spans="35:42" x14ac:dyDescent="0.2">
      <c r="AI315">
        <v>3</v>
      </c>
      <c r="AJ315">
        <v>2</v>
      </c>
      <c r="AK315">
        <v>5</v>
      </c>
      <c r="AL315">
        <v>4</v>
      </c>
      <c r="AM315">
        <v>3</v>
      </c>
      <c r="AN315">
        <f t="shared" si="22"/>
        <v>360</v>
      </c>
      <c r="AO315" cm="1">
        <f t="array" ref="AO315">PRODUCT(_xlfn.XLOOKUP(AI315:AM315,$B$3:$B$6,$C$3:$C$6))</f>
        <v>0</v>
      </c>
      <c r="AP315">
        <f t="shared" si="23"/>
        <v>0</v>
      </c>
    </row>
    <row r="316" spans="35:42" x14ac:dyDescent="0.2">
      <c r="AI316">
        <v>3</v>
      </c>
      <c r="AJ316">
        <v>2</v>
      </c>
      <c r="AK316">
        <v>5</v>
      </c>
      <c r="AL316">
        <v>4</v>
      </c>
      <c r="AM316">
        <v>4</v>
      </c>
      <c r="AN316">
        <f t="shared" si="22"/>
        <v>480</v>
      </c>
      <c r="AO316" cm="1">
        <f t="array" ref="AO316">PRODUCT(_xlfn.XLOOKUP(AI316:AM316,$B$3:$B$6,$C$3:$C$6))</f>
        <v>0</v>
      </c>
      <c r="AP316">
        <f t="shared" si="23"/>
        <v>0</v>
      </c>
    </row>
    <row r="317" spans="35:42" x14ac:dyDescent="0.2">
      <c r="AI317">
        <v>3</v>
      </c>
      <c r="AJ317">
        <v>2</v>
      </c>
      <c r="AK317">
        <v>5</v>
      </c>
      <c r="AL317">
        <v>4</v>
      </c>
      <c r="AM317">
        <v>5</v>
      </c>
      <c r="AN317">
        <f t="shared" si="22"/>
        <v>600</v>
      </c>
      <c r="AO317" cm="1">
        <f t="array" ref="AO317">PRODUCT(_xlfn.XLOOKUP(AI317:AM317,$B$3:$B$6,$C$3:$C$6))</f>
        <v>0</v>
      </c>
      <c r="AP317">
        <f t="shared" si="23"/>
        <v>0</v>
      </c>
    </row>
    <row r="318" spans="35:42" x14ac:dyDescent="0.2">
      <c r="AI318">
        <v>3</v>
      </c>
      <c r="AJ318">
        <v>2</v>
      </c>
      <c r="AK318">
        <v>5</v>
      </c>
      <c r="AL318">
        <v>5</v>
      </c>
      <c r="AM318">
        <v>2</v>
      </c>
      <c r="AN318">
        <f t="shared" si="22"/>
        <v>300</v>
      </c>
      <c r="AO318" cm="1">
        <f t="array" ref="AO318">PRODUCT(_xlfn.XLOOKUP(AI318:AM318,$B$3:$B$6,$C$3:$C$6))</f>
        <v>2.5660799999999997E-3</v>
      </c>
      <c r="AP318">
        <f t="shared" si="23"/>
        <v>0.76982399999999995</v>
      </c>
    </row>
    <row r="319" spans="35:42" x14ac:dyDescent="0.2">
      <c r="AI319">
        <v>3</v>
      </c>
      <c r="AJ319">
        <v>2</v>
      </c>
      <c r="AK319">
        <v>5</v>
      </c>
      <c r="AL319">
        <v>5</v>
      </c>
      <c r="AM319">
        <v>3</v>
      </c>
      <c r="AN319">
        <f t="shared" si="22"/>
        <v>450</v>
      </c>
      <c r="AO319" cm="1">
        <f t="array" ref="AO319">PRODUCT(_xlfn.XLOOKUP(AI319:AM319,$B$3:$B$6,$C$3:$C$6))</f>
        <v>9.4089599999999998E-4</v>
      </c>
      <c r="AP319">
        <f t="shared" si="23"/>
        <v>0.42340319999999998</v>
      </c>
    </row>
    <row r="320" spans="35:42" x14ac:dyDescent="0.2">
      <c r="AI320">
        <v>3</v>
      </c>
      <c r="AJ320">
        <v>2</v>
      </c>
      <c r="AK320">
        <v>5</v>
      </c>
      <c r="AL320">
        <v>5</v>
      </c>
      <c r="AM320">
        <v>4</v>
      </c>
      <c r="AN320">
        <f t="shared" si="22"/>
        <v>600</v>
      </c>
      <c r="AO320" cm="1">
        <f t="array" ref="AO320">PRODUCT(_xlfn.XLOOKUP(AI320:AM320,$B$3:$B$6,$C$3:$C$6))</f>
        <v>0</v>
      </c>
      <c r="AP320">
        <f t="shared" si="23"/>
        <v>0</v>
      </c>
    </row>
    <row r="321" spans="35:42" x14ac:dyDescent="0.2">
      <c r="AI321">
        <v>3</v>
      </c>
      <c r="AJ321">
        <v>2</v>
      </c>
      <c r="AK321">
        <v>5</v>
      </c>
      <c r="AL321">
        <v>5</v>
      </c>
      <c r="AM321">
        <v>5</v>
      </c>
      <c r="AN321">
        <f t="shared" si="22"/>
        <v>750</v>
      </c>
      <c r="AO321" cm="1">
        <f t="array" ref="AO321">PRODUCT(_xlfn.XLOOKUP(AI321:AM321,$B$3:$B$6,$C$3:$C$6))</f>
        <v>7.698239999999999E-4</v>
      </c>
      <c r="AP321">
        <f t="shared" si="23"/>
        <v>0.57736799999999988</v>
      </c>
    </row>
    <row r="322" spans="35:42" x14ac:dyDescent="0.2">
      <c r="AI322">
        <v>3</v>
      </c>
      <c r="AJ322">
        <v>3</v>
      </c>
      <c r="AK322">
        <v>2</v>
      </c>
      <c r="AL322">
        <v>2</v>
      </c>
      <c r="AM322">
        <v>2</v>
      </c>
      <c r="AN322">
        <f t="shared" si="22"/>
        <v>72</v>
      </c>
      <c r="AO322" cm="1">
        <f t="array" ref="AO322">PRODUCT(_xlfn.XLOOKUP(AI322:AM322,$B$3:$B$6,$C$3:$C$6))</f>
        <v>1.0454399999999999E-2</v>
      </c>
      <c r="AP322">
        <f t="shared" si="23"/>
        <v>0.75271679999999996</v>
      </c>
    </row>
    <row r="323" spans="35:42" x14ac:dyDescent="0.2">
      <c r="AI323">
        <v>3</v>
      </c>
      <c r="AJ323">
        <v>3</v>
      </c>
      <c r="AK323">
        <v>2</v>
      </c>
      <c r="AL323">
        <v>2</v>
      </c>
      <c r="AM323">
        <v>3</v>
      </c>
      <c r="AN323">
        <f t="shared" ref="AN323:AN386" si="24">PRODUCT(AI323:AM323)</f>
        <v>108</v>
      </c>
      <c r="AO323" cm="1">
        <f t="array" ref="AO323">PRODUCT(_xlfn.XLOOKUP(AI323:AM323,$B$3:$B$6,$C$3:$C$6))</f>
        <v>3.8332799999999997E-3</v>
      </c>
      <c r="AP323">
        <f t="shared" ref="AP323:AP386" si="25">AN323*AO323</f>
        <v>0.41399423999999996</v>
      </c>
    </row>
    <row r="324" spans="35:42" x14ac:dyDescent="0.2">
      <c r="AI324">
        <v>3</v>
      </c>
      <c r="AJ324">
        <v>3</v>
      </c>
      <c r="AK324">
        <v>2</v>
      </c>
      <c r="AL324">
        <v>2</v>
      </c>
      <c r="AM324">
        <v>4</v>
      </c>
      <c r="AN324">
        <f t="shared" si="24"/>
        <v>144</v>
      </c>
      <c r="AO324" cm="1">
        <f t="array" ref="AO324">PRODUCT(_xlfn.XLOOKUP(AI324:AM324,$B$3:$B$6,$C$3:$C$6))</f>
        <v>0</v>
      </c>
      <c r="AP324">
        <f t="shared" si="25"/>
        <v>0</v>
      </c>
    </row>
    <row r="325" spans="35:42" x14ac:dyDescent="0.2">
      <c r="AI325">
        <v>3</v>
      </c>
      <c r="AJ325">
        <v>3</v>
      </c>
      <c r="AK325">
        <v>2</v>
      </c>
      <c r="AL325">
        <v>2</v>
      </c>
      <c r="AM325">
        <v>5</v>
      </c>
      <c r="AN325">
        <f t="shared" si="24"/>
        <v>180</v>
      </c>
      <c r="AO325" cm="1">
        <f t="array" ref="AO325">PRODUCT(_xlfn.XLOOKUP(AI325:AM325,$B$3:$B$6,$C$3:$C$6))</f>
        <v>3.1363199999999997E-3</v>
      </c>
      <c r="AP325">
        <f t="shared" si="25"/>
        <v>0.56453759999999997</v>
      </c>
    </row>
    <row r="326" spans="35:42" x14ac:dyDescent="0.2">
      <c r="AI326">
        <v>3</v>
      </c>
      <c r="AJ326">
        <v>3</v>
      </c>
      <c r="AK326">
        <v>2</v>
      </c>
      <c r="AL326">
        <v>3</v>
      </c>
      <c r="AM326">
        <v>2</v>
      </c>
      <c r="AN326">
        <f t="shared" si="24"/>
        <v>108</v>
      </c>
      <c r="AO326" cm="1">
        <f t="array" ref="AO326">PRODUCT(_xlfn.XLOOKUP(AI326:AM326,$B$3:$B$6,$C$3:$C$6))</f>
        <v>3.8332799999999992E-3</v>
      </c>
      <c r="AP326">
        <f t="shared" si="25"/>
        <v>0.4139942399999999</v>
      </c>
    </row>
    <row r="327" spans="35:42" x14ac:dyDescent="0.2">
      <c r="AI327">
        <v>3</v>
      </c>
      <c r="AJ327">
        <v>3</v>
      </c>
      <c r="AK327">
        <v>2</v>
      </c>
      <c r="AL327">
        <v>3</v>
      </c>
      <c r="AM327">
        <v>3</v>
      </c>
      <c r="AN327">
        <f t="shared" si="24"/>
        <v>162</v>
      </c>
      <c r="AO327" cm="1">
        <f t="array" ref="AO327">PRODUCT(_xlfn.XLOOKUP(AI327:AM327,$B$3:$B$6,$C$3:$C$6))</f>
        <v>1.4055359999999998E-3</v>
      </c>
      <c r="AP327">
        <f t="shared" si="25"/>
        <v>0.22769683199999996</v>
      </c>
    </row>
    <row r="328" spans="35:42" x14ac:dyDescent="0.2">
      <c r="AI328">
        <v>3</v>
      </c>
      <c r="AJ328">
        <v>3</v>
      </c>
      <c r="AK328">
        <v>2</v>
      </c>
      <c r="AL328">
        <v>3</v>
      </c>
      <c r="AM328">
        <v>4</v>
      </c>
      <c r="AN328">
        <f t="shared" si="24"/>
        <v>216</v>
      </c>
      <c r="AO328" cm="1">
        <f t="array" ref="AO328">PRODUCT(_xlfn.XLOOKUP(AI328:AM328,$B$3:$B$6,$C$3:$C$6))</f>
        <v>0</v>
      </c>
      <c r="AP328">
        <f t="shared" si="25"/>
        <v>0</v>
      </c>
    </row>
    <row r="329" spans="35:42" x14ac:dyDescent="0.2">
      <c r="AI329">
        <v>3</v>
      </c>
      <c r="AJ329">
        <v>3</v>
      </c>
      <c r="AK329">
        <v>2</v>
      </c>
      <c r="AL329">
        <v>3</v>
      </c>
      <c r="AM329">
        <v>5</v>
      </c>
      <c r="AN329">
        <f t="shared" si="24"/>
        <v>270</v>
      </c>
      <c r="AO329" cm="1">
        <f t="array" ref="AO329">PRODUCT(_xlfn.XLOOKUP(AI329:AM329,$B$3:$B$6,$C$3:$C$6))</f>
        <v>1.1499839999999997E-3</v>
      </c>
      <c r="AP329">
        <f t="shared" si="25"/>
        <v>0.31049567999999994</v>
      </c>
    </row>
    <row r="330" spans="35:42" x14ac:dyDescent="0.2">
      <c r="AI330">
        <v>3</v>
      </c>
      <c r="AJ330">
        <v>3</v>
      </c>
      <c r="AK330">
        <v>2</v>
      </c>
      <c r="AL330">
        <v>4</v>
      </c>
      <c r="AM330">
        <v>2</v>
      </c>
      <c r="AN330">
        <f t="shared" si="24"/>
        <v>144</v>
      </c>
      <c r="AO330" cm="1">
        <f t="array" ref="AO330">PRODUCT(_xlfn.XLOOKUP(AI330:AM330,$B$3:$B$6,$C$3:$C$6))</f>
        <v>0</v>
      </c>
      <c r="AP330">
        <f t="shared" si="25"/>
        <v>0</v>
      </c>
    </row>
    <row r="331" spans="35:42" x14ac:dyDescent="0.2">
      <c r="AI331">
        <v>3</v>
      </c>
      <c r="AJ331">
        <v>3</v>
      </c>
      <c r="AK331">
        <v>2</v>
      </c>
      <c r="AL331">
        <v>4</v>
      </c>
      <c r="AM331">
        <v>3</v>
      </c>
      <c r="AN331">
        <f t="shared" si="24"/>
        <v>216</v>
      </c>
      <c r="AO331" cm="1">
        <f t="array" ref="AO331">PRODUCT(_xlfn.XLOOKUP(AI331:AM331,$B$3:$B$6,$C$3:$C$6))</f>
        <v>0</v>
      </c>
      <c r="AP331">
        <f t="shared" si="25"/>
        <v>0</v>
      </c>
    </row>
    <row r="332" spans="35:42" x14ac:dyDescent="0.2">
      <c r="AI332">
        <v>3</v>
      </c>
      <c r="AJ332">
        <v>3</v>
      </c>
      <c r="AK332">
        <v>2</v>
      </c>
      <c r="AL332">
        <v>4</v>
      </c>
      <c r="AM332">
        <v>4</v>
      </c>
      <c r="AN332">
        <f t="shared" si="24"/>
        <v>288</v>
      </c>
      <c r="AO332" cm="1">
        <f t="array" ref="AO332">PRODUCT(_xlfn.XLOOKUP(AI332:AM332,$B$3:$B$6,$C$3:$C$6))</f>
        <v>0</v>
      </c>
      <c r="AP332">
        <f t="shared" si="25"/>
        <v>0</v>
      </c>
    </row>
    <row r="333" spans="35:42" x14ac:dyDescent="0.2">
      <c r="AI333">
        <v>3</v>
      </c>
      <c r="AJ333">
        <v>3</v>
      </c>
      <c r="AK333">
        <v>2</v>
      </c>
      <c r="AL333">
        <v>4</v>
      </c>
      <c r="AM333">
        <v>5</v>
      </c>
      <c r="AN333">
        <f t="shared" si="24"/>
        <v>360</v>
      </c>
      <c r="AO333" cm="1">
        <f t="array" ref="AO333">PRODUCT(_xlfn.XLOOKUP(AI333:AM333,$B$3:$B$6,$C$3:$C$6))</f>
        <v>0</v>
      </c>
      <c r="AP333">
        <f t="shared" si="25"/>
        <v>0</v>
      </c>
    </row>
    <row r="334" spans="35:42" x14ac:dyDescent="0.2">
      <c r="AI334">
        <v>3</v>
      </c>
      <c r="AJ334">
        <v>3</v>
      </c>
      <c r="AK334">
        <v>2</v>
      </c>
      <c r="AL334">
        <v>5</v>
      </c>
      <c r="AM334">
        <v>2</v>
      </c>
      <c r="AN334">
        <f t="shared" si="24"/>
        <v>180</v>
      </c>
      <c r="AO334" cm="1">
        <f t="array" ref="AO334">PRODUCT(_xlfn.XLOOKUP(AI334:AM334,$B$3:$B$6,$C$3:$C$6))</f>
        <v>3.1363199999999997E-3</v>
      </c>
      <c r="AP334">
        <f t="shared" si="25"/>
        <v>0.56453759999999997</v>
      </c>
    </row>
    <row r="335" spans="35:42" x14ac:dyDescent="0.2">
      <c r="AI335">
        <v>3</v>
      </c>
      <c r="AJ335">
        <v>3</v>
      </c>
      <c r="AK335">
        <v>2</v>
      </c>
      <c r="AL335">
        <v>5</v>
      </c>
      <c r="AM335">
        <v>3</v>
      </c>
      <c r="AN335">
        <f t="shared" si="24"/>
        <v>270</v>
      </c>
      <c r="AO335" cm="1">
        <f t="array" ref="AO335">PRODUCT(_xlfn.XLOOKUP(AI335:AM335,$B$3:$B$6,$C$3:$C$6))</f>
        <v>1.1499839999999999E-3</v>
      </c>
      <c r="AP335">
        <f t="shared" si="25"/>
        <v>0.31049568</v>
      </c>
    </row>
    <row r="336" spans="35:42" x14ac:dyDescent="0.2">
      <c r="AI336">
        <v>3</v>
      </c>
      <c r="AJ336">
        <v>3</v>
      </c>
      <c r="AK336">
        <v>2</v>
      </c>
      <c r="AL336">
        <v>5</v>
      </c>
      <c r="AM336">
        <v>4</v>
      </c>
      <c r="AN336">
        <f t="shared" si="24"/>
        <v>360</v>
      </c>
      <c r="AO336" cm="1">
        <f t="array" ref="AO336">PRODUCT(_xlfn.XLOOKUP(AI336:AM336,$B$3:$B$6,$C$3:$C$6))</f>
        <v>0</v>
      </c>
      <c r="AP336">
        <f t="shared" si="25"/>
        <v>0</v>
      </c>
    </row>
    <row r="337" spans="35:42" x14ac:dyDescent="0.2">
      <c r="AI337">
        <v>3</v>
      </c>
      <c r="AJ337">
        <v>3</v>
      </c>
      <c r="AK337">
        <v>2</v>
      </c>
      <c r="AL337">
        <v>5</v>
      </c>
      <c r="AM337">
        <v>5</v>
      </c>
      <c r="AN337">
        <f t="shared" si="24"/>
        <v>450</v>
      </c>
      <c r="AO337" cm="1">
        <f t="array" ref="AO337">PRODUCT(_xlfn.XLOOKUP(AI337:AM337,$B$3:$B$6,$C$3:$C$6))</f>
        <v>9.4089599999999988E-4</v>
      </c>
      <c r="AP337">
        <f t="shared" si="25"/>
        <v>0.42340319999999992</v>
      </c>
    </row>
    <row r="338" spans="35:42" x14ac:dyDescent="0.2">
      <c r="AI338">
        <v>3</v>
      </c>
      <c r="AJ338">
        <v>3</v>
      </c>
      <c r="AK338">
        <v>3</v>
      </c>
      <c r="AL338">
        <v>2</v>
      </c>
      <c r="AM338">
        <v>2</v>
      </c>
      <c r="AN338">
        <f t="shared" si="24"/>
        <v>108</v>
      </c>
      <c r="AO338" cm="1">
        <f t="array" ref="AO338">PRODUCT(_xlfn.XLOOKUP(AI338:AM338,$B$3:$B$6,$C$3:$C$6))</f>
        <v>3.8332799999999992E-3</v>
      </c>
      <c r="AP338">
        <f t="shared" si="25"/>
        <v>0.4139942399999999</v>
      </c>
    </row>
    <row r="339" spans="35:42" x14ac:dyDescent="0.2">
      <c r="AI339">
        <v>3</v>
      </c>
      <c r="AJ339">
        <v>3</v>
      </c>
      <c r="AK339">
        <v>3</v>
      </c>
      <c r="AL339">
        <v>2</v>
      </c>
      <c r="AM339">
        <v>3</v>
      </c>
      <c r="AN339">
        <f t="shared" si="24"/>
        <v>162</v>
      </c>
      <c r="AO339" cm="1">
        <f t="array" ref="AO339">PRODUCT(_xlfn.XLOOKUP(AI339:AM339,$B$3:$B$6,$C$3:$C$6))</f>
        <v>1.4055359999999998E-3</v>
      </c>
      <c r="AP339">
        <f t="shared" si="25"/>
        <v>0.22769683199999996</v>
      </c>
    </row>
    <row r="340" spans="35:42" x14ac:dyDescent="0.2">
      <c r="AI340">
        <v>3</v>
      </c>
      <c r="AJ340">
        <v>3</v>
      </c>
      <c r="AK340">
        <v>3</v>
      </c>
      <c r="AL340">
        <v>2</v>
      </c>
      <c r="AM340">
        <v>4</v>
      </c>
      <c r="AN340">
        <f t="shared" si="24"/>
        <v>216</v>
      </c>
      <c r="AO340" cm="1">
        <f t="array" ref="AO340">PRODUCT(_xlfn.XLOOKUP(AI340:AM340,$B$3:$B$6,$C$3:$C$6))</f>
        <v>0</v>
      </c>
      <c r="AP340">
        <f t="shared" si="25"/>
        <v>0</v>
      </c>
    </row>
    <row r="341" spans="35:42" x14ac:dyDescent="0.2">
      <c r="AI341">
        <v>3</v>
      </c>
      <c r="AJ341">
        <v>3</v>
      </c>
      <c r="AK341">
        <v>3</v>
      </c>
      <c r="AL341">
        <v>2</v>
      </c>
      <c r="AM341">
        <v>5</v>
      </c>
      <c r="AN341">
        <f t="shared" si="24"/>
        <v>270</v>
      </c>
      <c r="AO341" cm="1">
        <f t="array" ref="AO341">PRODUCT(_xlfn.XLOOKUP(AI341:AM341,$B$3:$B$6,$C$3:$C$6))</f>
        <v>1.1499839999999997E-3</v>
      </c>
      <c r="AP341">
        <f t="shared" si="25"/>
        <v>0.31049567999999994</v>
      </c>
    </row>
    <row r="342" spans="35:42" x14ac:dyDescent="0.2">
      <c r="AI342">
        <v>3</v>
      </c>
      <c r="AJ342">
        <v>3</v>
      </c>
      <c r="AK342">
        <v>3</v>
      </c>
      <c r="AL342">
        <v>3</v>
      </c>
      <c r="AM342">
        <v>2</v>
      </c>
      <c r="AN342">
        <f t="shared" si="24"/>
        <v>162</v>
      </c>
      <c r="AO342" cm="1">
        <f t="array" ref="AO342">PRODUCT(_xlfn.XLOOKUP(AI342:AM342,$B$3:$B$6,$C$3:$C$6))</f>
        <v>1.405536E-3</v>
      </c>
      <c r="AP342">
        <f t="shared" si="25"/>
        <v>0.22769683199999999</v>
      </c>
    </row>
    <row r="343" spans="35:42" x14ac:dyDescent="0.2">
      <c r="AI343">
        <v>3</v>
      </c>
      <c r="AJ343">
        <v>3</v>
      </c>
      <c r="AK343">
        <v>3</v>
      </c>
      <c r="AL343">
        <v>3</v>
      </c>
      <c r="AM343">
        <v>3</v>
      </c>
      <c r="AN343">
        <f t="shared" si="24"/>
        <v>243</v>
      </c>
      <c r="AO343" cm="1">
        <f t="array" ref="AO343">PRODUCT(_xlfn.XLOOKUP(AI343:AM343,$B$3:$B$6,$C$3:$C$6))</f>
        <v>5.1536319999999998E-4</v>
      </c>
      <c r="AP343">
        <f t="shared" si="25"/>
        <v>0.12523325760000001</v>
      </c>
    </row>
    <row r="344" spans="35:42" x14ac:dyDescent="0.2">
      <c r="AI344">
        <v>3</v>
      </c>
      <c r="AJ344">
        <v>3</v>
      </c>
      <c r="AK344">
        <v>3</v>
      </c>
      <c r="AL344">
        <v>3</v>
      </c>
      <c r="AM344">
        <v>4</v>
      </c>
      <c r="AN344">
        <f t="shared" si="24"/>
        <v>324</v>
      </c>
      <c r="AO344" cm="1">
        <f t="array" ref="AO344">PRODUCT(_xlfn.XLOOKUP(AI344:AM344,$B$3:$B$6,$C$3:$C$6))</f>
        <v>0</v>
      </c>
      <c r="AP344">
        <f t="shared" si="25"/>
        <v>0</v>
      </c>
    </row>
    <row r="345" spans="35:42" x14ac:dyDescent="0.2">
      <c r="AI345">
        <v>3</v>
      </c>
      <c r="AJ345">
        <v>3</v>
      </c>
      <c r="AK345">
        <v>3</v>
      </c>
      <c r="AL345">
        <v>3</v>
      </c>
      <c r="AM345">
        <v>5</v>
      </c>
      <c r="AN345">
        <f t="shared" si="24"/>
        <v>405</v>
      </c>
      <c r="AO345" cm="1">
        <f t="array" ref="AO345">PRODUCT(_xlfn.XLOOKUP(AI345:AM345,$B$3:$B$6,$C$3:$C$6))</f>
        <v>4.2166079999999997E-4</v>
      </c>
      <c r="AP345">
        <f t="shared" si="25"/>
        <v>0.17077262399999998</v>
      </c>
    </row>
    <row r="346" spans="35:42" x14ac:dyDescent="0.2">
      <c r="AI346">
        <v>3</v>
      </c>
      <c r="AJ346">
        <v>3</v>
      </c>
      <c r="AK346">
        <v>3</v>
      </c>
      <c r="AL346">
        <v>4</v>
      </c>
      <c r="AM346">
        <v>2</v>
      </c>
      <c r="AN346">
        <f t="shared" si="24"/>
        <v>216</v>
      </c>
      <c r="AO346" cm="1">
        <f t="array" ref="AO346">PRODUCT(_xlfn.XLOOKUP(AI346:AM346,$B$3:$B$6,$C$3:$C$6))</f>
        <v>0</v>
      </c>
      <c r="AP346">
        <f t="shared" si="25"/>
        <v>0</v>
      </c>
    </row>
    <row r="347" spans="35:42" x14ac:dyDescent="0.2">
      <c r="AI347">
        <v>3</v>
      </c>
      <c r="AJ347">
        <v>3</v>
      </c>
      <c r="AK347">
        <v>3</v>
      </c>
      <c r="AL347">
        <v>4</v>
      </c>
      <c r="AM347">
        <v>3</v>
      </c>
      <c r="AN347">
        <f t="shared" si="24"/>
        <v>324</v>
      </c>
      <c r="AO347" cm="1">
        <f t="array" ref="AO347">PRODUCT(_xlfn.XLOOKUP(AI347:AM347,$B$3:$B$6,$C$3:$C$6))</f>
        <v>0</v>
      </c>
      <c r="AP347">
        <f t="shared" si="25"/>
        <v>0</v>
      </c>
    </row>
    <row r="348" spans="35:42" x14ac:dyDescent="0.2">
      <c r="AI348">
        <v>3</v>
      </c>
      <c r="AJ348">
        <v>3</v>
      </c>
      <c r="AK348">
        <v>3</v>
      </c>
      <c r="AL348">
        <v>4</v>
      </c>
      <c r="AM348">
        <v>4</v>
      </c>
      <c r="AN348">
        <f t="shared" si="24"/>
        <v>432</v>
      </c>
      <c r="AO348" cm="1">
        <f t="array" ref="AO348">PRODUCT(_xlfn.XLOOKUP(AI348:AM348,$B$3:$B$6,$C$3:$C$6))</f>
        <v>0</v>
      </c>
      <c r="AP348">
        <f t="shared" si="25"/>
        <v>0</v>
      </c>
    </row>
    <row r="349" spans="35:42" x14ac:dyDescent="0.2">
      <c r="AI349">
        <v>3</v>
      </c>
      <c r="AJ349">
        <v>3</v>
      </c>
      <c r="AK349">
        <v>3</v>
      </c>
      <c r="AL349">
        <v>4</v>
      </c>
      <c r="AM349">
        <v>5</v>
      </c>
      <c r="AN349">
        <f t="shared" si="24"/>
        <v>540</v>
      </c>
      <c r="AO349" cm="1">
        <f t="array" ref="AO349">PRODUCT(_xlfn.XLOOKUP(AI349:AM349,$B$3:$B$6,$C$3:$C$6))</f>
        <v>0</v>
      </c>
      <c r="AP349">
        <f t="shared" si="25"/>
        <v>0</v>
      </c>
    </row>
    <row r="350" spans="35:42" x14ac:dyDescent="0.2">
      <c r="AI350">
        <v>3</v>
      </c>
      <c r="AJ350">
        <v>3</v>
      </c>
      <c r="AK350">
        <v>3</v>
      </c>
      <c r="AL350">
        <v>5</v>
      </c>
      <c r="AM350">
        <v>2</v>
      </c>
      <c r="AN350">
        <f t="shared" si="24"/>
        <v>270</v>
      </c>
      <c r="AO350" cm="1">
        <f t="array" ref="AO350">PRODUCT(_xlfn.XLOOKUP(AI350:AM350,$B$3:$B$6,$C$3:$C$6))</f>
        <v>1.1499839999999999E-3</v>
      </c>
      <c r="AP350">
        <f t="shared" si="25"/>
        <v>0.31049568</v>
      </c>
    </row>
    <row r="351" spans="35:42" x14ac:dyDescent="0.2">
      <c r="AI351">
        <v>3</v>
      </c>
      <c r="AJ351">
        <v>3</v>
      </c>
      <c r="AK351">
        <v>3</v>
      </c>
      <c r="AL351">
        <v>5</v>
      </c>
      <c r="AM351">
        <v>3</v>
      </c>
      <c r="AN351">
        <f t="shared" si="24"/>
        <v>405</v>
      </c>
      <c r="AO351" cm="1">
        <f t="array" ref="AO351">PRODUCT(_xlfn.XLOOKUP(AI351:AM351,$B$3:$B$6,$C$3:$C$6))</f>
        <v>4.2166079999999997E-4</v>
      </c>
      <c r="AP351">
        <f t="shared" si="25"/>
        <v>0.17077262399999998</v>
      </c>
    </row>
    <row r="352" spans="35:42" x14ac:dyDescent="0.2">
      <c r="AI352">
        <v>3</v>
      </c>
      <c r="AJ352">
        <v>3</v>
      </c>
      <c r="AK352">
        <v>3</v>
      </c>
      <c r="AL352">
        <v>5</v>
      </c>
      <c r="AM352">
        <v>4</v>
      </c>
      <c r="AN352">
        <f t="shared" si="24"/>
        <v>540</v>
      </c>
      <c r="AO352" cm="1">
        <f t="array" ref="AO352">PRODUCT(_xlfn.XLOOKUP(AI352:AM352,$B$3:$B$6,$C$3:$C$6))</f>
        <v>0</v>
      </c>
      <c r="AP352">
        <f t="shared" si="25"/>
        <v>0</v>
      </c>
    </row>
    <row r="353" spans="35:42" x14ac:dyDescent="0.2">
      <c r="AI353">
        <v>3</v>
      </c>
      <c r="AJ353">
        <v>3</v>
      </c>
      <c r="AK353">
        <v>3</v>
      </c>
      <c r="AL353">
        <v>5</v>
      </c>
      <c r="AM353">
        <v>5</v>
      </c>
      <c r="AN353">
        <f t="shared" si="24"/>
        <v>675</v>
      </c>
      <c r="AO353" cm="1">
        <f t="array" ref="AO353">PRODUCT(_xlfn.XLOOKUP(AI353:AM353,$B$3:$B$6,$C$3:$C$6))</f>
        <v>3.4499519999999997E-4</v>
      </c>
      <c r="AP353">
        <f t="shared" si="25"/>
        <v>0.23287175999999998</v>
      </c>
    </row>
    <row r="354" spans="35:42" x14ac:dyDescent="0.2">
      <c r="AI354">
        <v>3</v>
      </c>
      <c r="AJ354">
        <v>3</v>
      </c>
      <c r="AK354">
        <v>4</v>
      </c>
      <c r="AL354">
        <v>2</v>
      </c>
      <c r="AM354">
        <v>2</v>
      </c>
      <c r="AN354">
        <f t="shared" si="24"/>
        <v>144</v>
      </c>
      <c r="AO354" cm="1">
        <f t="array" ref="AO354">PRODUCT(_xlfn.XLOOKUP(AI354:AM354,$B$3:$B$6,$C$3:$C$6))</f>
        <v>0</v>
      </c>
      <c r="AP354">
        <f t="shared" si="25"/>
        <v>0</v>
      </c>
    </row>
    <row r="355" spans="35:42" x14ac:dyDescent="0.2">
      <c r="AI355">
        <v>3</v>
      </c>
      <c r="AJ355">
        <v>3</v>
      </c>
      <c r="AK355">
        <v>4</v>
      </c>
      <c r="AL355">
        <v>2</v>
      </c>
      <c r="AM355">
        <v>3</v>
      </c>
      <c r="AN355">
        <f t="shared" si="24"/>
        <v>216</v>
      </c>
      <c r="AO355" cm="1">
        <f t="array" ref="AO355">PRODUCT(_xlfn.XLOOKUP(AI355:AM355,$B$3:$B$6,$C$3:$C$6))</f>
        <v>0</v>
      </c>
      <c r="AP355">
        <f t="shared" si="25"/>
        <v>0</v>
      </c>
    </row>
    <row r="356" spans="35:42" x14ac:dyDescent="0.2">
      <c r="AI356">
        <v>3</v>
      </c>
      <c r="AJ356">
        <v>3</v>
      </c>
      <c r="AK356">
        <v>4</v>
      </c>
      <c r="AL356">
        <v>2</v>
      </c>
      <c r="AM356">
        <v>4</v>
      </c>
      <c r="AN356">
        <f t="shared" si="24"/>
        <v>288</v>
      </c>
      <c r="AO356" cm="1">
        <f t="array" ref="AO356">PRODUCT(_xlfn.XLOOKUP(AI356:AM356,$B$3:$B$6,$C$3:$C$6))</f>
        <v>0</v>
      </c>
      <c r="AP356">
        <f t="shared" si="25"/>
        <v>0</v>
      </c>
    </row>
    <row r="357" spans="35:42" x14ac:dyDescent="0.2">
      <c r="AI357">
        <v>3</v>
      </c>
      <c r="AJ357">
        <v>3</v>
      </c>
      <c r="AK357">
        <v>4</v>
      </c>
      <c r="AL357">
        <v>2</v>
      </c>
      <c r="AM357">
        <v>5</v>
      </c>
      <c r="AN357">
        <f t="shared" si="24"/>
        <v>360</v>
      </c>
      <c r="AO357" cm="1">
        <f t="array" ref="AO357">PRODUCT(_xlfn.XLOOKUP(AI357:AM357,$B$3:$B$6,$C$3:$C$6))</f>
        <v>0</v>
      </c>
      <c r="AP357">
        <f t="shared" si="25"/>
        <v>0</v>
      </c>
    </row>
    <row r="358" spans="35:42" x14ac:dyDescent="0.2">
      <c r="AI358">
        <v>3</v>
      </c>
      <c r="AJ358">
        <v>3</v>
      </c>
      <c r="AK358">
        <v>4</v>
      </c>
      <c r="AL358">
        <v>3</v>
      </c>
      <c r="AM358">
        <v>2</v>
      </c>
      <c r="AN358">
        <f t="shared" si="24"/>
        <v>216</v>
      </c>
      <c r="AO358" cm="1">
        <f t="array" ref="AO358">PRODUCT(_xlfn.XLOOKUP(AI358:AM358,$B$3:$B$6,$C$3:$C$6))</f>
        <v>0</v>
      </c>
      <c r="AP358">
        <f t="shared" si="25"/>
        <v>0</v>
      </c>
    </row>
    <row r="359" spans="35:42" x14ac:dyDescent="0.2">
      <c r="AI359">
        <v>3</v>
      </c>
      <c r="AJ359">
        <v>3</v>
      </c>
      <c r="AK359">
        <v>4</v>
      </c>
      <c r="AL359">
        <v>3</v>
      </c>
      <c r="AM359">
        <v>3</v>
      </c>
      <c r="AN359">
        <f t="shared" si="24"/>
        <v>324</v>
      </c>
      <c r="AO359" cm="1">
        <f t="array" ref="AO359">PRODUCT(_xlfn.XLOOKUP(AI359:AM359,$B$3:$B$6,$C$3:$C$6))</f>
        <v>0</v>
      </c>
      <c r="AP359">
        <f t="shared" si="25"/>
        <v>0</v>
      </c>
    </row>
    <row r="360" spans="35:42" x14ac:dyDescent="0.2">
      <c r="AI360">
        <v>3</v>
      </c>
      <c r="AJ360">
        <v>3</v>
      </c>
      <c r="AK360">
        <v>4</v>
      </c>
      <c r="AL360">
        <v>3</v>
      </c>
      <c r="AM360">
        <v>4</v>
      </c>
      <c r="AN360">
        <f t="shared" si="24"/>
        <v>432</v>
      </c>
      <c r="AO360" cm="1">
        <f t="array" ref="AO360">PRODUCT(_xlfn.XLOOKUP(AI360:AM360,$B$3:$B$6,$C$3:$C$6))</f>
        <v>0</v>
      </c>
      <c r="AP360">
        <f t="shared" si="25"/>
        <v>0</v>
      </c>
    </row>
    <row r="361" spans="35:42" x14ac:dyDescent="0.2">
      <c r="AI361">
        <v>3</v>
      </c>
      <c r="AJ361">
        <v>3</v>
      </c>
      <c r="AK361">
        <v>4</v>
      </c>
      <c r="AL361">
        <v>3</v>
      </c>
      <c r="AM361">
        <v>5</v>
      </c>
      <c r="AN361">
        <f t="shared" si="24"/>
        <v>540</v>
      </c>
      <c r="AO361" cm="1">
        <f t="array" ref="AO361">PRODUCT(_xlfn.XLOOKUP(AI361:AM361,$B$3:$B$6,$C$3:$C$6))</f>
        <v>0</v>
      </c>
      <c r="AP361">
        <f t="shared" si="25"/>
        <v>0</v>
      </c>
    </row>
    <row r="362" spans="35:42" x14ac:dyDescent="0.2">
      <c r="AI362">
        <v>3</v>
      </c>
      <c r="AJ362">
        <v>3</v>
      </c>
      <c r="AK362">
        <v>4</v>
      </c>
      <c r="AL362">
        <v>4</v>
      </c>
      <c r="AM362">
        <v>2</v>
      </c>
      <c r="AN362">
        <f t="shared" si="24"/>
        <v>288</v>
      </c>
      <c r="AO362" cm="1">
        <f t="array" ref="AO362">PRODUCT(_xlfn.XLOOKUP(AI362:AM362,$B$3:$B$6,$C$3:$C$6))</f>
        <v>0</v>
      </c>
      <c r="AP362">
        <f t="shared" si="25"/>
        <v>0</v>
      </c>
    </row>
    <row r="363" spans="35:42" x14ac:dyDescent="0.2">
      <c r="AI363">
        <v>3</v>
      </c>
      <c r="AJ363">
        <v>3</v>
      </c>
      <c r="AK363">
        <v>4</v>
      </c>
      <c r="AL363">
        <v>4</v>
      </c>
      <c r="AM363">
        <v>3</v>
      </c>
      <c r="AN363">
        <f t="shared" si="24"/>
        <v>432</v>
      </c>
      <c r="AO363" cm="1">
        <f t="array" ref="AO363">PRODUCT(_xlfn.XLOOKUP(AI363:AM363,$B$3:$B$6,$C$3:$C$6))</f>
        <v>0</v>
      </c>
      <c r="AP363">
        <f t="shared" si="25"/>
        <v>0</v>
      </c>
    </row>
    <row r="364" spans="35:42" x14ac:dyDescent="0.2">
      <c r="AI364">
        <v>3</v>
      </c>
      <c r="AJ364">
        <v>3</v>
      </c>
      <c r="AK364">
        <v>4</v>
      </c>
      <c r="AL364">
        <v>4</v>
      </c>
      <c r="AM364">
        <v>4</v>
      </c>
      <c r="AN364">
        <f t="shared" si="24"/>
        <v>576</v>
      </c>
      <c r="AO364" cm="1">
        <f t="array" ref="AO364">PRODUCT(_xlfn.XLOOKUP(AI364:AM364,$B$3:$B$6,$C$3:$C$6))</f>
        <v>0</v>
      </c>
      <c r="AP364">
        <f t="shared" si="25"/>
        <v>0</v>
      </c>
    </row>
    <row r="365" spans="35:42" x14ac:dyDescent="0.2">
      <c r="AI365">
        <v>3</v>
      </c>
      <c r="AJ365">
        <v>3</v>
      </c>
      <c r="AK365">
        <v>4</v>
      </c>
      <c r="AL365">
        <v>4</v>
      </c>
      <c r="AM365">
        <v>5</v>
      </c>
      <c r="AN365">
        <f t="shared" si="24"/>
        <v>720</v>
      </c>
      <c r="AO365" cm="1">
        <f t="array" ref="AO365">PRODUCT(_xlfn.XLOOKUP(AI365:AM365,$B$3:$B$6,$C$3:$C$6))</f>
        <v>0</v>
      </c>
      <c r="AP365">
        <f t="shared" si="25"/>
        <v>0</v>
      </c>
    </row>
    <row r="366" spans="35:42" x14ac:dyDescent="0.2">
      <c r="AI366">
        <v>3</v>
      </c>
      <c r="AJ366">
        <v>3</v>
      </c>
      <c r="AK366">
        <v>4</v>
      </c>
      <c r="AL366">
        <v>5</v>
      </c>
      <c r="AM366">
        <v>2</v>
      </c>
      <c r="AN366">
        <f t="shared" si="24"/>
        <v>360</v>
      </c>
      <c r="AO366" cm="1">
        <f t="array" ref="AO366">PRODUCT(_xlfn.XLOOKUP(AI366:AM366,$B$3:$B$6,$C$3:$C$6))</f>
        <v>0</v>
      </c>
      <c r="AP366">
        <f t="shared" si="25"/>
        <v>0</v>
      </c>
    </row>
    <row r="367" spans="35:42" x14ac:dyDescent="0.2">
      <c r="AI367">
        <v>3</v>
      </c>
      <c r="AJ367">
        <v>3</v>
      </c>
      <c r="AK367">
        <v>4</v>
      </c>
      <c r="AL367">
        <v>5</v>
      </c>
      <c r="AM367">
        <v>3</v>
      </c>
      <c r="AN367">
        <f t="shared" si="24"/>
        <v>540</v>
      </c>
      <c r="AO367" cm="1">
        <f t="array" ref="AO367">PRODUCT(_xlfn.XLOOKUP(AI367:AM367,$B$3:$B$6,$C$3:$C$6))</f>
        <v>0</v>
      </c>
      <c r="AP367">
        <f t="shared" si="25"/>
        <v>0</v>
      </c>
    </row>
    <row r="368" spans="35:42" x14ac:dyDescent="0.2">
      <c r="AI368">
        <v>3</v>
      </c>
      <c r="AJ368">
        <v>3</v>
      </c>
      <c r="AK368">
        <v>4</v>
      </c>
      <c r="AL368">
        <v>5</v>
      </c>
      <c r="AM368">
        <v>4</v>
      </c>
      <c r="AN368">
        <f t="shared" si="24"/>
        <v>720</v>
      </c>
      <c r="AO368" cm="1">
        <f t="array" ref="AO368">PRODUCT(_xlfn.XLOOKUP(AI368:AM368,$B$3:$B$6,$C$3:$C$6))</f>
        <v>0</v>
      </c>
      <c r="AP368">
        <f t="shared" si="25"/>
        <v>0</v>
      </c>
    </row>
    <row r="369" spans="35:42" x14ac:dyDescent="0.2">
      <c r="AI369">
        <v>3</v>
      </c>
      <c r="AJ369">
        <v>3</v>
      </c>
      <c r="AK369">
        <v>4</v>
      </c>
      <c r="AL369">
        <v>5</v>
      </c>
      <c r="AM369">
        <v>5</v>
      </c>
      <c r="AN369">
        <f t="shared" si="24"/>
        <v>900</v>
      </c>
      <c r="AO369" cm="1">
        <f t="array" ref="AO369">PRODUCT(_xlfn.XLOOKUP(AI369:AM369,$B$3:$B$6,$C$3:$C$6))</f>
        <v>0</v>
      </c>
      <c r="AP369">
        <f t="shared" si="25"/>
        <v>0</v>
      </c>
    </row>
    <row r="370" spans="35:42" x14ac:dyDescent="0.2">
      <c r="AI370">
        <v>3</v>
      </c>
      <c r="AJ370">
        <v>3</v>
      </c>
      <c r="AK370">
        <v>5</v>
      </c>
      <c r="AL370">
        <v>2</v>
      </c>
      <c r="AM370">
        <v>2</v>
      </c>
      <c r="AN370">
        <f t="shared" si="24"/>
        <v>180</v>
      </c>
      <c r="AO370" cm="1">
        <f t="array" ref="AO370">PRODUCT(_xlfn.XLOOKUP(AI370:AM370,$B$3:$B$6,$C$3:$C$6))</f>
        <v>3.1363199999999997E-3</v>
      </c>
      <c r="AP370">
        <f t="shared" si="25"/>
        <v>0.56453759999999997</v>
      </c>
    </row>
    <row r="371" spans="35:42" x14ac:dyDescent="0.2">
      <c r="AI371">
        <v>3</v>
      </c>
      <c r="AJ371">
        <v>3</v>
      </c>
      <c r="AK371">
        <v>5</v>
      </c>
      <c r="AL371">
        <v>2</v>
      </c>
      <c r="AM371">
        <v>3</v>
      </c>
      <c r="AN371">
        <f t="shared" si="24"/>
        <v>270</v>
      </c>
      <c r="AO371" cm="1">
        <f t="array" ref="AO371">PRODUCT(_xlfn.XLOOKUP(AI371:AM371,$B$3:$B$6,$C$3:$C$6))</f>
        <v>1.1499839999999999E-3</v>
      </c>
      <c r="AP371">
        <f t="shared" si="25"/>
        <v>0.31049568</v>
      </c>
    </row>
    <row r="372" spans="35:42" x14ac:dyDescent="0.2">
      <c r="AI372">
        <v>3</v>
      </c>
      <c r="AJ372">
        <v>3</v>
      </c>
      <c r="AK372">
        <v>5</v>
      </c>
      <c r="AL372">
        <v>2</v>
      </c>
      <c r="AM372">
        <v>4</v>
      </c>
      <c r="AN372">
        <f t="shared" si="24"/>
        <v>360</v>
      </c>
      <c r="AO372" cm="1">
        <f t="array" ref="AO372">PRODUCT(_xlfn.XLOOKUP(AI372:AM372,$B$3:$B$6,$C$3:$C$6))</f>
        <v>0</v>
      </c>
      <c r="AP372">
        <f t="shared" si="25"/>
        <v>0</v>
      </c>
    </row>
    <row r="373" spans="35:42" x14ac:dyDescent="0.2">
      <c r="AI373">
        <v>3</v>
      </c>
      <c r="AJ373">
        <v>3</v>
      </c>
      <c r="AK373">
        <v>5</v>
      </c>
      <c r="AL373">
        <v>2</v>
      </c>
      <c r="AM373">
        <v>5</v>
      </c>
      <c r="AN373">
        <f t="shared" si="24"/>
        <v>450</v>
      </c>
      <c r="AO373" cm="1">
        <f t="array" ref="AO373">PRODUCT(_xlfn.XLOOKUP(AI373:AM373,$B$3:$B$6,$C$3:$C$6))</f>
        <v>9.4089599999999988E-4</v>
      </c>
      <c r="AP373">
        <f t="shared" si="25"/>
        <v>0.42340319999999992</v>
      </c>
    </row>
    <row r="374" spans="35:42" x14ac:dyDescent="0.2">
      <c r="AI374">
        <v>3</v>
      </c>
      <c r="AJ374">
        <v>3</v>
      </c>
      <c r="AK374">
        <v>5</v>
      </c>
      <c r="AL374">
        <v>3</v>
      </c>
      <c r="AM374">
        <v>2</v>
      </c>
      <c r="AN374">
        <f t="shared" si="24"/>
        <v>270</v>
      </c>
      <c r="AO374" cm="1">
        <f t="array" ref="AO374">PRODUCT(_xlfn.XLOOKUP(AI374:AM374,$B$3:$B$6,$C$3:$C$6))</f>
        <v>1.1499839999999999E-3</v>
      </c>
      <c r="AP374">
        <f t="shared" si="25"/>
        <v>0.31049568</v>
      </c>
    </row>
    <row r="375" spans="35:42" x14ac:dyDescent="0.2">
      <c r="AI375">
        <v>3</v>
      </c>
      <c r="AJ375">
        <v>3</v>
      </c>
      <c r="AK375">
        <v>5</v>
      </c>
      <c r="AL375">
        <v>3</v>
      </c>
      <c r="AM375">
        <v>3</v>
      </c>
      <c r="AN375">
        <f t="shared" si="24"/>
        <v>405</v>
      </c>
      <c r="AO375" cm="1">
        <f t="array" ref="AO375">PRODUCT(_xlfn.XLOOKUP(AI375:AM375,$B$3:$B$6,$C$3:$C$6))</f>
        <v>4.2166079999999997E-4</v>
      </c>
      <c r="AP375">
        <f t="shared" si="25"/>
        <v>0.17077262399999998</v>
      </c>
    </row>
    <row r="376" spans="35:42" x14ac:dyDescent="0.2">
      <c r="AI376">
        <v>3</v>
      </c>
      <c r="AJ376">
        <v>3</v>
      </c>
      <c r="AK376">
        <v>5</v>
      </c>
      <c r="AL376">
        <v>3</v>
      </c>
      <c r="AM376">
        <v>4</v>
      </c>
      <c r="AN376">
        <f t="shared" si="24"/>
        <v>540</v>
      </c>
      <c r="AO376" cm="1">
        <f t="array" ref="AO376">PRODUCT(_xlfn.XLOOKUP(AI376:AM376,$B$3:$B$6,$C$3:$C$6))</f>
        <v>0</v>
      </c>
      <c r="AP376">
        <f t="shared" si="25"/>
        <v>0</v>
      </c>
    </row>
    <row r="377" spans="35:42" x14ac:dyDescent="0.2">
      <c r="AI377">
        <v>3</v>
      </c>
      <c r="AJ377">
        <v>3</v>
      </c>
      <c r="AK377">
        <v>5</v>
      </c>
      <c r="AL377">
        <v>3</v>
      </c>
      <c r="AM377">
        <v>5</v>
      </c>
      <c r="AN377">
        <f t="shared" si="24"/>
        <v>675</v>
      </c>
      <c r="AO377" cm="1">
        <f t="array" ref="AO377">PRODUCT(_xlfn.XLOOKUP(AI377:AM377,$B$3:$B$6,$C$3:$C$6))</f>
        <v>3.4499519999999997E-4</v>
      </c>
      <c r="AP377">
        <f t="shared" si="25"/>
        <v>0.23287175999999998</v>
      </c>
    </row>
    <row r="378" spans="35:42" x14ac:dyDescent="0.2">
      <c r="AI378">
        <v>3</v>
      </c>
      <c r="AJ378">
        <v>3</v>
      </c>
      <c r="AK378">
        <v>5</v>
      </c>
      <c r="AL378">
        <v>4</v>
      </c>
      <c r="AM378">
        <v>2</v>
      </c>
      <c r="AN378">
        <f t="shared" si="24"/>
        <v>360</v>
      </c>
      <c r="AO378" cm="1">
        <f t="array" ref="AO378">PRODUCT(_xlfn.XLOOKUP(AI378:AM378,$B$3:$B$6,$C$3:$C$6))</f>
        <v>0</v>
      </c>
      <c r="AP378">
        <f t="shared" si="25"/>
        <v>0</v>
      </c>
    </row>
    <row r="379" spans="35:42" x14ac:dyDescent="0.2">
      <c r="AI379">
        <v>3</v>
      </c>
      <c r="AJ379">
        <v>3</v>
      </c>
      <c r="AK379">
        <v>5</v>
      </c>
      <c r="AL379">
        <v>4</v>
      </c>
      <c r="AM379">
        <v>3</v>
      </c>
      <c r="AN379">
        <f t="shared" si="24"/>
        <v>540</v>
      </c>
      <c r="AO379" cm="1">
        <f t="array" ref="AO379">PRODUCT(_xlfn.XLOOKUP(AI379:AM379,$B$3:$B$6,$C$3:$C$6))</f>
        <v>0</v>
      </c>
      <c r="AP379">
        <f t="shared" si="25"/>
        <v>0</v>
      </c>
    </row>
    <row r="380" spans="35:42" x14ac:dyDescent="0.2">
      <c r="AI380">
        <v>3</v>
      </c>
      <c r="AJ380">
        <v>3</v>
      </c>
      <c r="AK380">
        <v>5</v>
      </c>
      <c r="AL380">
        <v>4</v>
      </c>
      <c r="AM380">
        <v>4</v>
      </c>
      <c r="AN380">
        <f t="shared" si="24"/>
        <v>720</v>
      </c>
      <c r="AO380" cm="1">
        <f t="array" ref="AO380">PRODUCT(_xlfn.XLOOKUP(AI380:AM380,$B$3:$B$6,$C$3:$C$6))</f>
        <v>0</v>
      </c>
      <c r="AP380">
        <f t="shared" si="25"/>
        <v>0</v>
      </c>
    </row>
    <row r="381" spans="35:42" x14ac:dyDescent="0.2">
      <c r="AI381">
        <v>3</v>
      </c>
      <c r="AJ381">
        <v>3</v>
      </c>
      <c r="AK381">
        <v>5</v>
      </c>
      <c r="AL381">
        <v>4</v>
      </c>
      <c r="AM381">
        <v>5</v>
      </c>
      <c r="AN381">
        <f t="shared" si="24"/>
        <v>900</v>
      </c>
      <c r="AO381" cm="1">
        <f t="array" ref="AO381">PRODUCT(_xlfn.XLOOKUP(AI381:AM381,$B$3:$B$6,$C$3:$C$6))</f>
        <v>0</v>
      </c>
      <c r="AP381">
        <f t="shared" si="25"/>
        <v>0</v>
      </c>
    </row>
    <row r="382" spans="35:42" x14ac:dyDescent="0.2">
      <c r="AI382">
        <v>3</v>
      </c>
      <c r="AJ382">
        <v>3</v>
      </c>
      <c r="AK382">
        <v>5</v>
      </c>
      <c r="AL382">
        <v>5</v>
      </c>
      <c r="AM382">
        <v>2</v>
      </c>
      <c r="AN382">
        <f t="shared" si="24"/>
        <v>450</v>
      </c>
      <c r="AO382" cm="1">
        <f t="array" ref="AO382">PRODUCT(_xlfn.XLOOKUP(AI382:AM382,$B$3:$B$6,$C$3:$C$6))</f>
        <v>9.4089599999999988E-4</v>
      </c>
      <c r="AP382">
        <f t="shared" si="25"/>
        <v>0.42340319999999992</v>
      </c>
    </row>
    <row r="383" spans="35:42" x14ac:dyDescent="0.2">
      <c r="AI383">
        <v>3</v>
      </c>
      <c r="AJ383">
        <v>3</v>
      </c>
      <c r="AK383">
        <v>5</v>
      </c>
      <c r="AL383">
        <v>5</v>
      </c>
      <c r="AM383">
        <v>3</v>
      </c>
      <c r="AN383">
        <f t="shared" si="24"/>
        <v>675</v>
      </c>
      <c r="AO383" cm="1">
        <f t="array" ref="AO383">PRODUCT(_xlfn.XLOOKUP(AI383:AM383,$B$3:$B$6,$C$3:$C$6))</f>
        <v>3.4499519999999997E-4</v>
      </c>
      <c r="AP383">
        <f t="shared" si="25"/>
        <v>0.23287175999999998</v>
      </c>
    </row>
    <row r="384" spans="35:42" x14ac:dyDescent="0.2">
      <c r="AI384">
        <v>3</v>
      </c>
      <c r="AJ384">
        <v>3</v>
      </c>
      <c r="AK384">
        <v>5</v>
      </c>
      <c r="AL384">
        <v>5</v>
      </c>
      <c r="AM384">
        <v>4</v>
      </c>
      <c r="AN384">
        <f t="shared" si="24"/>
        <v>900</v>
      </c>
      <c r="AO384" cm="1">
        <f t="array" ref="AO384">PRODUCT(_xlfn.XLOOKUP(AI384:AM384,$B$3:$B$6,$C$3:$C$6))</f>
        <v>0</v>
      </c>
      <c r="AP384">
        <f t="shared" si="25"/>
        <v>0</v>
      </c>
    </row>
    <row r="385" spans="35:42" x14ac:dyDescent="0.2">
      <c r="AI385">
        <v>3</v>
      </c>
      <c r="AJ385">
        <v>3</v>
      </c>
      <c r="AK385">
        <v>5</v>
      </c>
      <c r="AL385">
        <v>5</v>
      </c>
      <c r="AM385">
        <v>5</v>
      </c>
      <c r="AN385">
        <f t="shared" si="24"/>
        <v>1125</v>
      </c>
      <c r="AO385" cm="1">
        <f t="array" ref="AO385">PRODUCT(_xlfn.XLOOKUP(AI385:AM385,$B$3:$B$6,$C$3:$C$6))</f>
        <v>2.8226879999999996E-4</v>
      </c>
      <c r="AP385">
        <f t="shared" si="25"/>
        <v>0.31755239999999996</v>
      </c>
    </row>
    <row r="386" spans="35:42" x14ac:dyDescent="0.2">
      <c r="AI386">
        <v>3</v>
      </c>
      <c r="AJ386">
        <v>4</v>
      </c>
      <c r="AK386">
        <v>2</v>
      </c>
      <c r="AL386">
        <v>2</v>
      </c>
      <c r="AM386">
        <v>2</v>
      </c>
      <c r="AN386">
        <f t="shared" si="24"/>
        <v>96</v>
      </c>
      <c r="AO386" cm="1">
        <f t="array" ref="AO386">PRODUCT(_xlfn.XLOOKUP(AI386:AM386,$B$3:$B$6,$C$3:$C$6))</f>
        <v>0</v>
      </c>
      <c r="AP386">
        <f t="shared" si="25"/>
        <v>0</v>
      </c>
    </row>
    <row r="387" spans="35:42" x14ac:dyDescent="0.2">
      <c r="AI387">
        <v>3</v>
      </c>
      <c r="AJ387">
        <v>4</v>
      </c>
      <c r="AK387">
        <v>2</v>
      </c>
      <c r="AL387">
        <v>2</v>
      </c>
      <c r="AM387">
        <v>3</v>
      </c>
      <c r="AN387">
        <f t="shared" ref="AN387:AN450" si="26">PRODUCT(AI387:AM387)</f>
        <v>144</v>
      </c>
      <c r="AO387" cm="1">
        <f t="array" ref="AO387">PRODUCT(_xlfn.XLOOKUP(AI387:AM387,$B$3:$B$6,$C$3:$C$6))</f>
        <v>0</v>
      </c>
      <c r="AP387">
        <f t="shared" ref="AP387:AP450" si="27">AN387*AO387</f>
        <v>0</v>
      </c>
    </row>
    <row r="388" spans="35:42" x14ac:dyDescent="0.2">
      <c r="AI388">
        <v>3</v>
      </c>
      <c r="AJ388">
        <v>4</v>
      </c>
      <c r="AK388">
        <v>2</v>
      </c>
      <c r="AL388">
        <v>2</v>
      </c>
      <c r="AM388">
        <v>4</v>
      </c>
      <c r="AN388">
        <f t="shared" si="26"/>
        <v>192</v>
      </c>
      <c r="AO388" cm="1">
        <f t="array" ref="AO388">PRODUCT(_xlfn.XLOOKUP(AI388:AM388,$B$3:$B$6,$C$3:$C$6))</f>
        <v>0</v>
      </c>
      <c r="AP388">
        <f t="shared" si="27"/>
        <v>0</v>
      </c>
    </row>
    <row r="389" spans="35:42" x14ac:dyDescent="0.2">
      <c r="AI389">
        <v>3</v>
      </c>
      <c r="AJ389">
        <v>4</v>
      </c>
      <c r="AK389">
        <v>2</v>
      </c>
      <c r="AL389">
        <v>2</v>
      </c>
      <c r="AM389">
        <v>5</v>
      </c>
      <c r="AN389">
        <f t="shared" si="26"/>
        <v>240</v>
      </c>
      <c r="AO389" cm="1">
        <f t="array" ref="AO389">PRODUCT(_xlfn.XLOOKUP(AI389:AM389,$B$3:$B$6,$C$3:$C$6))</f>
        <v>0</v>
      </c>
      <c r="AP389">
        <f t="shared" si="27"/>
        <v>0</v>
      </c>
    </row>
    <row r="390" spans="35:42" x14ac:dyDescent="0.2">
      <c r="AI390">
        <v>3</v>
      </c>
      <c r="AJ390">
        <v>4</v>
      </c>
      <c r="AK390">
        <v>2</v>
      </c>
      <c r="AL390">
        <v>3</v>
      </c>
      <c r="AM390">
        <v>2</v>
      </c>
      <c r="AN390">
        <f t="shared" si="26"/>
        <v>144</v>
      </c>
      <c r="AO390" cm="1">
        <f t="array" ref="AO390">PRODUCT(_xlfn.XLOOKUP(AI390:AM390,$B$3:$B$6,$C$3:$C$6))</f>
        <v>0</v>
      </c>
      <c r="AP390">
        <f t="shared" si="27"/>
        <v>0</v>
      </c>
    </row>
    <row r="391" spans="35:42" x14ac:dyDescent="0.2">
      <c r="AI391">
        <v>3</v>
      </c>
      <c r="AJ391">
        <v>4</v>
      </c>
      <c r="AK391">
        <v>2</v>
      </c>
      <c r="AL391">
        <v>3</v>
      </c>
      <c r="AM391">
        <v>3</v>
      </c>
      <c r="AN391">
        <f t="shared" si="26"/>
        <v>216</v>
      </c>
      <c r="AO391" cm="1">
        <f t="array" ref="AO391">PRODUCT(_xlfn.XLOOKUP(AI391:AM391,$B$3:$B$6,$C$3:$C$6))</f>
        <v>0</v>
      </c>
      <c r="AP391">
        <f t="shared" si="27"/>
        <v>0</v>
      </c>
    </row>
    <row r="392" spans="35:42" x14ac:dyDescent="0.2">
      <c r="AI392">
        <v>3</v>
      </c>
      <c r="AJ392">
        <v>4</v>
      </c>
      <c r="AK392">
        <v>2</v>
      </c>
      <c r="AL392">
        <v>3</v>
      </c>
      <c r="AM392">
        <v>4</v>
      </c>
      <c r="AN392">
        <f t="shared" si="26"/>
        <v>288</v>
      </c>
      <c r="AO392" cm="1">
        <f t="array" ref="AO392">PRODUCT(_xlfn.XLOOKUP(AI392:AM392,$B$3:$B$6,$C$3:$C$6))</f>
        <v>0</v>
      </c>
      <c r="AP392">
        <f t="shared" si="27"/>
        <v>0</v>
      </c>
    </row>
    <row r="393" spans="35:42" x14ac:dyDescent="0.2">
      <c r="AI393">
        <v>3</v>
      </c>
      <c r="AJ393">
        <v>4</v>
      </c>
      <c r="AK393">
        <v>2</v>
      </c>
      <c r="AL393">
        <v>3</v>
      </c>
      <c r="AM393">
        <v>5</v>
      </c>
      <c r="AN393">
        <f t="shared" si="26"/>
        <v>360</v>
      </c>
      <c r="AO393" cm="1">
        <f t="array" ref="AO393">PRODUCT(_xlfn.XLOOKUP(AI393:AM393,$B$3:$B$6,$C$3:$C$6))</f>
        <v>0</v>
      </c>
      <c r="AP393">
        <f t="shared" si="27"/>
        <v>0</v>
      </c>
    </row>
    <row r="394" spans="35:42" x14ac:dyDescent="0.2">
      <c r="AI394">
        <v>3</v>
      </c>
      <c r="AJ394">
        <v>4</v>
      </c>
      <c r="AK394">
        <v>2</v>
      </c>
      <c r="AL394">
        <v>4</v>
      </c>
      <c r="AM394">
        <v>2</v>
      </c>
      <c r="AN394">
        <f t="shared" si="26"/>
        <v>192</v>
      </c>
      <c r="AO394" cm="1">
        <f t="array" ref="AO394">PRODUCT(_xlfn.XLOOKUP(AI394:AM394,$B$3:$B$6,$C$3:$C$6))</f>
        <v>0</v>
      </c>
      <c r="AP394">
        <f t="shared" si="27"/>
        <v>0</v>
      </c>
    </row>
    <row r="395" spans="35:42" x14ac:dyDescent="0.2">
      <c r="AI395">
        <v>3</v>
      </c>
      <c r="AJ395">
        <v>4</v>
      </c>
      <c r="AK395">
        <v>2</v>
      </c>
      <c r="AL395">
        <v>4</v>
      </c>
      <c r="AM395">
        <v>3</v>
      </c>
      <c r="AN395">
        <f t="shared" si="26"/>
        <v>288</v>
      </c>
      <c r="AO395" cm="1">
        <f t="array" ref="AO395">PRODUCT(_xlfn.XLOOKUP(AI395:AM395,$B$3:$B$6,$C$3:$C$6))</f>
        <v>0</v>
      </c>
      <c r="AP395">
        <f t="shared" si="27"/>
        <v>0</v>
      </c>
    </row>
    <row r="396" spans="35:42" x14ac:dyDescent="0.2">
      <c r="AI396">
        <v>3</v>
      </c>
      <c r="AJ396">
        <v>4</v>
      </c>
      <c r="AK396">
        <v>2</v>
      </c>
      <c r="AL396">
        <v>4</v>
      </c>
      <c r="AM396">
        <v>4</v>
      </c>
      <c r="AN396">
        <f t="shared" si="26"/>
        <v>384</v>
      </c>
      <c r="AO396" cm="1">
        <f t="array" ref="AO396">PRODUCT(_xlfn.XLOOKUP(AI396:AM396,$B$3:$B$6,$C$3:$C$6))</f>
        <v>0</v>
      </c>
      <c r="AP396">
        <f t="shared" si="27"/>
        <v>0</v>
      </c>
    </row>
    <row r="397" spans="35:42" x14ac:dyDescent="0.2">
      <c r="AI397">
        <v>3</v>
      </c>
      <c r="AJ397">
        <v>4</v>
      </c>
      <c r="AK397">
        <v>2</v>
      </c>
      <c r="AL397">
        <v>4</v>
      </c>
      <c r="AM397">
        <v>5</v>
      </c>
      <c r="AN397">
        <f t="shared" si="26"/>
        <v>480</v>
      </c>
      <c r="AO397" cm="1">
        <f t="array" ref="AO397">PRODUCT(_xlfn.XLOOKUP(AI397:AM397,$B$3:$B$6,$C$3:$C$6))</f>
        <v>0</v>
      </c>
      <c r="AP397">
        <f t="shared" si="27"/>
        <v>0</v>
      </c>
    </row>
    <row r="398" spans="35:42" x14ac:dyDescent="0.2">
      <c r="AI398">
        <v>3</v>
      </c>
      <c r="AJ398">
        <v>4</v>
      </c>
      <c r="AK398">
        <v>2</v>
      </c>
      <c r="AL398">
        <v>5</v>
      </c>
      <c r="AM398">
        <v>2</v>
      </c>
      <c r="AN398">
        <f t="shared" si="26"/>
        <v>240</v>
      </c>
      <c r="AO398" cm="1">
        <f t="array" ref="AO398">PRODUCT(_xlfn.XLOOKUP(AI398:AM398,$B$3:$B$6,$C$3:$C$6))</f>
        <v>0</v>
      </c>
      <c r="AP398">
        <f t="shared" si="27"/>
        <v>0</v>
      </c>
    </row>
    <row r="399" spans="35:42" x14ac:dyDescent="0.2">
      <c r="AI399">
        <v>3</v>
      </c>
      <c r="AJ399">
        <v>4</v>
      </c>
      <c r="AK399">
        <v>2</v>
      </c>
      <c r="AL399">
        <v>5</v>
      </c>
      <c r="AM399">
        <v>3</v>
      </c>
      <c r="AN399">
        <f t="shared" si="26"/>
        <v>360</v>
      </c>
      <c r="AO399" cm="1">
        <f t="array" ref="AO399">PRODUCT(_xlfn.XLOOKUP(AI399:AM399,$B$3:$B$6,$C$3:$C$6))</f>
        <v>0</v>
      </c>
      <c r="AP399">
        <f t="shared" si="27"/>
        <v>0</v>
      </c>
    </row>
    <row r="400" spans="35:42" x14ac:dyDescent="0.2">
      <c r="AI400">
        <v>3</v>
      </c>
      <c r="AJ400">
        <v>4</v>
      </c>
      <c r="AK400">
        <v>2</v>
      </c>
      <c r="AL400">
        <v>5</v>
      </c>
      <c r="AM400">
        <v>4</v>
      </c>
      <c r="AN400">
        <f t="shared" si="26"/>
        <v>480</v>
      </c>
      <c r="AO400" cm="1">
        <f t="array" ref="AO400">PRODUCT(_xlfn.XLOOKUP(AI400:AM400,$B$3:$B$6,$C$3:$C$6))</f>
        <v>0</v>
      </c>
      <c r="AP400">
        <f t="shared" si="27"/>
        <v>0</v>
      </c>
    </row>
    <row r="401" spans="35:42" x14ac:dyDescent="0.2">
      <c r="AI401">
        <v>3</v>
      </c>
      <c r="AJ401">
        <v>4</v>
      </c>
      <c r="AK401">
        <v>2</v>
      </c>
      <c r="AL401">
        <v>5</v>
      </c>
      <c r="AM401">
        <v>5</v>
      </c>
      <c r="AN401">
        <f t="shared" si="26"/>
        <v>600</v>
      </c>
      <c r="AO401" cm="1">
        <f t="array" ref="AO401">PRODUCT(_xlfn.XLOOKUP(AI401:AM401,$B$3:$B$6,$C$3:$C$6))</f>
        <v>0</v>
      </c>
      <c r="AP401">
        <f t="shared" si="27"/>
        <v>0</v>
      </c>
    </row>
    <row r="402" spans="35:42" x14ac:dyDescent="0.2">
      <c r="AI402">
        <v>3</v>
      </c>
      <c r="AJ402">
        <v>4</v>
      </c>
      <c r="AK402">
        <v>3</v>
      </c>
      <c r="AL402">
        <v>2</v>
      </c>
      <c r="AM402">
        <v>2</v>
      </c>
      <c r="AN402">
        <f t="shared" si="26"/>
        <v>144</v>
      </c>
      <c r="AO402" cm="1">
        <f t="array" ref="AO402">PRODUCT(_xlfn.XLOOKUP(AI402:AM402,$B$3:$B$6,$C$3:$C$6))</f>
        <v>0</v>
      </c>
      <c r="AP402">
        <f t="shared" si="27"/>
        <v>0</v>
      </c>
    </row>
    <row r="403" spans="35:42" x14ac:dyDescent="0.2">
      <c r="AI403">
        <v>3</v>
      </c>
      <c r="AJ403">
        <v>4</v>
      </c>
      <c r="AK403">
        <v>3</v>
      </c>
      <c r="AL403">
        <v>2</v>
      </c>
      <c r="AM403">
        <v>3</v>
      </c>
      <c r="AN403">
        <f t="shared" si="26"/>
        <v>216</v>
      </c>
      <c r="AO403" cm="1">
        <f t="array" ref="AO403">PRODUCT(_xlfn.XLOOKUP(AI403:AM403,$B$3:$B$6,$C$3:$C$6))</f>
        <v>0</v>
      </c>
      <c r="AP403">
        <f t="shared" si="27"/>
        <v>0</v>
      </c>
    </row>
    <row r="404" spans="35:42" x14ac:dyDescent="0.2">
      <c r="AI404">
        <v>3</v>
      </c>
      <c r="AJ404">
        <v>4</v>
      </c>
      <c r="AK404">
        <v>3</v>
      </c>
      <c r="AL404">
        <v>2</v>
      </c>
      <c r="AM404">
        <v>4</v>
      </c>
      <c r="AN404">
        <f t="shared" si="26"/>
        <v>288</v>
      </c>
      <c r="AO404" cm="1">
        <f t="array" ref="AO404">PRODUCT(_xlfn.XLOOKUP(AI404:AM404,$B$3:$B$6,$C$3:$C$6))</f>
        <v>0</v>
      </c>
      <c r="AP404">
        <f t="shared" si="27"/>
        <v>0</v>
      </c>
    </row>
    <row r="405" spans="35:42" x14ac:dyDescent="0.2">
      <c r="AI405">
        <v>3</v>
      </c>
      <c r="AJ405">
        <v>4</v>
      </c>
      <c r="AK405">
        <v>3</v>
      </c>
      <c r="AL405">
        <v>2</v>
      </c>
      <c r="AM405">
        <v>5</v>
      </c>
      <c r="AN405">
        <f t="shared" si="26"/>
        <v>360</v>
      </c>
      <c r="AO405" cm="1">
        <f t="array" ref="AO405">PRODUCT(_xlfn.XLOOKUP(AI405:AM405,$B$3:$B$6,$C$3:$C$6))</f>
        <v>0</v>
      </c>
      <c r="AP405">
        <f t="shared" si="27"/>
        <v>0</v>
      </c>
    </row>
    <row r="406" spans="35:42" x14ac:dyDescent="0.2">
      <c r="AI406">
        <v>3</v>
      </c>
      <c r="AJ406">
        <v>4</v>
      </c>
      <c r="AK406">
        <v>3</v>
      </c>
      <c r="AL406">
        <v>3</v>
      </c>
      <c r="AM406">
        <v>2</v>
      </c>
      <c r="AN406">
        <f t="shared" si="26"/>
        <v>216</v>
      </c>
      <c r="AO406" cm="1">
        <f t="array" ref="AO406">PRODUCT(_xlfn.XLOOKUP(AI406:AM406,$B$3:$B$6,$C$3:$C$6))</f>
        <v>0</v>
      </c>
      <c r="AP406">
        <f t="shared" si="27"/>
        <v>0</v>
      </c>
    </row>
    <row r="407" spans="35:42" x14ac:dyDescent="0.2">
      <c r="AI407">
        <v>3</v>
      </c>
      <c r="AJ407">
        <v>4</v>
      </c>
      <c r="AK407">
        <v>3</v>
      </c>
      <c r="AL407">
        <v>3</v>
      </c>
      <c r="AM407">
        <v>3</v>
      </c>
      <c r="AN407">
        <f t="shared" si="26"/>
        <v>324</v>
      </c>
      <c r="AO407" cm="1">
        <f t="array" ref="AO407">PRODUCT(_xlfn.XLOOKUP(AI407:AM407,$B$3:$B$6,$C$3:$C$6))</f>
        <v>0</v>
      </c>
      <c r="AP407">
        <f t="shared" si="27"/>
        <v>0</v>
      </c>
    </row>
    <row r="408" spans="35:42" x14ac:dyDescent="0.2">
      <c r="AI408">
        <v>3</v>
      </c>
      <c r="AJ408">
        <v>4</v>
      </c>
      <c r="AK408">
        <v>3</v>
      </c>
      <c r="AL408">
        <v>3</v>
      </c>
      <c r="AM408">
        <v>4</v>
      </c>
      <c r="AN408">
        <f t="shared" si="26"/>
        <v>432</v>
      </c>
      <c r="AO408" cm="1">
        <f t="array" ref="AO408">PRODUCT(_xlfn.XLOOKUP(AI408:AM408,$B$3:$B$6,$C$3:$C$6))</f>
        <v>0</v>
      </c>
      <c r="AP408">
        <f t="shared" si="27"/>
        <v>0</v>
      </c>
    </row>
    <row r="409" spans="35:42" x14ac:dyDescent="0.2">
      <c r="AI409">
        <v>3</v>
      </c>
      <c r="AJ409">
        <v>4</v>
      </c>
      <c r="AK409">
        <v>3</v>
      </c>
      <c r="AL409">
        <v>3</v>
      </c>
      <c r="AM409">
        <v>5</v>
      </c>
      <c r="AN409">
        <f t="shared" si="26"/>
        <v>540</v>
      </c>
      <c r="AO409" cm="1">
        <f t="array" ref="AO409">PRODUCT(_xlfn.XLOOKUP(AI409:AM409,$B$3:$B$6,$C$3:$C$6))</f>
        <v>0</v>
      </c>
      <c r="AP409">
        <f t="shared" si="27"/>
        <v>0</v>
      </c>
    </row>
    <row r="410" spans="35:42" x14ac:dyDescent="0.2">
      <c r="AI410">
        <v>3</v>
      </c>
      <c r="AJ410">
        <v>4</v>
      </c>
      <c r="AK410">
        <v>3</v>
      </c>
      <c r="AL410">
        <v>4</v>
      </c>
      <c r="AM410">
        <v>2</v>
      </c>
      <c r="AN410">
        <f t="shared" si="26"/>
        <v>288</v>
      </c>
      <c r="AO410" cm="1">
        <f t="array" ref="AO410">PRODUCT(_xlfn.XLOOKUP(AI410:AM410,$B$3:$B$6,$C$3:$C$6))</f>
        <v>0</v>
      </c>
      <c r="AP410">
        <f t="shared" si="27"/>
        <v>0</v>
      </c>
    </row>
    <row r="411" spans="35:42" x14ac:dyDescent="0.2">
      <c r="AI411">
        <v>3</v>
      </c>
      <c r="AJ411">
        <v>4</v>
      </c>
      <c r="AK411">
        <v>3</v>
      </c>
      <c r="AL411">
        <v>4</v>
      </c>
      <c r="AM411">
        <v>3</v>
      </c>
      <c r="AN411">
        <f t="shared" si="26"/>
        <v>432</v>
      </c>
      <c r="AO411" cm="1">
        <f t="array" ref="AO411">PRODUCT(_xlfn.XLOOKUP(AI411:AM411,$B$3:$B$6,$C$3:$C$6))</f>
        <v>0</v>
      </c>
      <c r="AP411">
        <f t="shared" si="27"/>
        <v>0</v>
      </c>
    </row>
    <row r="412" spans="35:42" x14ac:dyDescent="0.2">
      <c r="AI412">
        <v>3</v>
      </c>
      <c r="AJ412">
        <v>4</v>
      </c>
      <c r="AK412">
        <v>3</v>
      </c>
      <c r="AL412">
        <v>4</v>
      </c>
      <c r="AM412">
        <v>4</v>
      </c>
      <c r="AN412">
        <f t="shared" si="26"/>
        <v>576</v>
      </c>
      <c r="AO412" cm="1">
        <f t="array" ref="AO412">PRODUCT(_xlfn.XLOOKUP(AI412:AM412,$B$3:$B$6,$C$3:$C$6))</f>
        <v>0</v>
      </c>
      <c r="AP412">
        <f t="shared" si="27"/>
        <v>0</v>
      </c>
    </row>
    <row r="413" spans="35:42" x14ac:dyDescent="0.2">
      <c r="AI413">
        <v>3</v>
      </c>
      <c r="AJ413">
        <v>4</v>
      </c>
      <c r="AK413">
        <v>3</v>
      </c>
      <c r="AL413">
        <v>4</v>
      </c>
      <c r="AM413">
        <v>5</v>
      </c>
      <c r="AN413">
        <f t="shared" si="26"/>
        <v>720</v>
      </c>
      <c r="AO413" cm="1">
        <f t="array" ref="AO413">PRODUCT(_xlfn.XLOOKUP(AI413:AM413,$B$3:$B$6,$C$3:$C$6))</f>
        <v>0</v>
      </c>
      <c r="AP413">
        <f t="shared" si="27"/>
        <v>0</v>
      </c>
    </row>
    <row r="414" spans="35:42" x14ac:dyDescent="0.2">
      <c r="AI414">
        <v>3</v>
      </c>
      <c r="AJ414">
        <v>4</v>
      </c>
      <c r="AK414">
        <v>3</v>
      </c>
      <c r="AL414">
        <v>5</v>
      </c>
      <c r="AM414">
        <v>2</v>
      </c>
      <c r="AN414">
        <f t="shared" si="26"/>
        <v>360</v>
      </c>
      <c r="AO414" cm="1">
        <f t="array" ref="AO414">PRODUCT(_xlfn.XLOOKUP(AI414:AM414,$B$3:$B$6,$C$3:$C$6))</f>
        <v>0</v>
      </c>
      <c r="AP414">
        <f t="shared" si="27"/>
        <v>0</v>
      </c>
    </row>
    <row r="415" spans="35:42" x14ac:dyDescent="0.2">
      <c r="AI415">
        <v>3</v>
      </c>
      <c r="AJ415">
        <v>4</v>
      </c>
      <c r="AK415">
        <v>3</v>
      </c>
      <c r="AL415">
        <v>5</v>
      </c>
      <c r="AM415">
        <v>3</v>
      </c>
      <c r="AN415">
        <f t="shared" si="26"/>
        <v>540</v>
      </c>
      <c r="AO415" cm="1">
        <f t="array" ref="AO415">PRODUCT(_xlfn.XLOOKUP(AI415:AM415,$B$3:$B$6,$C$3:$C$6))</f>
        <v>0</v>
      </c>
      <c r="AP415">
        <f t="shared" si="27"/>
        <v>0</v>
      </c>
    </row>
    <row r="416" spans="35:42" x14ac:dyDescent="0.2">
      <c r="AI416">
        <v>3</v>
      </c>
      <c r="AJ416">
        <v>4</v>
      </c>
      <c r="AK416">
        <v>3</v>
      </c>
      <c r="AL416">
        <v>5</v>
      </c>
      <c r="AM416">
        <v>4</v>
      </c>
      <c r="AN416">
        <f t="shared" si="26"/>
        <v>720</v>
      </c>
      <c r="AO416" cm="1">
        <f t="array" ref="AO416">PRODUCT(_xlfn.XLOOKUP(AI416:AM416,$B$3:$B$6,$C$3:$C$6))</f>
        <v>0</v>
      </c>
      <c r="AP416">
        <f t="shared" si="27"/>
        <v>0</v>
      </c>
    </row>
    <row r="417" spans="35:42" x14ac:dyDescent="0.2">
      <c r="AI417">
        <v>3</v>
      </c>
      <c r="AJ417">
        <v>4</v>
      </c>
      <c r="AK417">
        <v>3</v>
      </c>
      <c r="AL417">
        <v>5</v>
      </c>
      <c r="AM417">
        <v>5</v>
      </c>
      <c r="AN417">
        <f t="shared" si="26"/>
        <v>900</v>
      </c>
      <c r="AO417" cm="1">
        <f t="array" ref="AO417">PRODUCT(_xlfn.XLOOKUP(AI417:AM417,$B$3:$B$6,$C$3:$C$6))</f>
        <v>0</v>
      </c>
      <c r="AP417">
        <f t="shared" si="27"/>
        <v>0</v>
      </c>
    </row>
    <row r="418" spans="35:42" x14ac:dyDescent="0.2">
      <c r="AI418">
        <v>3</v>
      </c>
      <c r="AJ418">
        <v>4</v>
      </c>
      <c r="AK418">
        <v>4</v>
      </c>
      <c r="AL418">
        <v>2</v>
      </c>
      <c r="AM418">
        <v>2</v>
      </c>
      <c r="AN418">
        <f t="shared" si="26"/>
        <v>192</v>
      </c>
      <c r="AO418" cm="1">
        <f t="array" ref="AO418">PRODUCT(_xlfn.XLOOKUP(AI418:AM418,$B$3:$B$6,$C$3:$C$6))</f>
        <v>0</v>
      </c>
      <c r="AP418">
        <f t="shared" si="27"/>
        <v>0</v>
      </c>
    </row>
    <row r="419" spans="35:42" x14ac:dyDescent="0.2">
      <c r="AI419">
        <v>3</v>
      </c>
      <c r="AJ419">
        <v>4</v>
      </c>
      <c r="AK419">
        <v>4</v>
      </c>
      <c r="AL419">
        <v>2</v>
      </c>
      <c r="AM419">
        <v>3</v>
      </c>
      <c r="AN419">
        <f t="shared" si="26"/>
        <v>288</v>
      </c>
      <c r="AO419" cm="1">
        <f t="array" ref="AO419">PRODUCT(_xlfn.XLOOKUP(AI419:AM419,$B$3:$B$6,$C$3:$C$6))</f>
        <v>0</v>
      </c>
      <c r="AP419">
        <f t="shared" si="27"/>
        <v>0</v>
      </c>
    </row>
    <row r="420" spans="35:42" x14ac:dyDescent="0.2">
      <c r="AI420">
        <v>3</v>
      </c>
      <c r="AJ420">
        <v>4</v>
      </c>
      <c r="AK420">
        <v>4</v>
      </c>
      <c r="AL420">
        <v>2</v>
      </c>
      <c r="AM420">
        <v>4</v>
      </c>
      <c r="AN420">
        <f t="shared" si="26"/>
        <v>384</v>
      </c>
      <c r="AO420" cm="1">
        <f t="array" ref="AO420">PRODUCT(_xlfn.XLOOKUP(AI420:AM420,$B$3:$B$6,$C$3:$C$6))</f>
        <v>0</v>
      </c>
      <c r="AP420">
        <f t="shared" si="27"/>
        <v>0</v>
      </c>
    </row>
    <row r="421" spans="35:42" x14ac:dyDescent="0.2">
      <c r="AI421">
        <v>3</v>
      </c>
      <c r="AJ421">
        <v>4</v>
      </c>
      <c r="AK421">
        <v>4</v>
      </c>
      <c r="AL421">
        <v>2</v>
      </c>
      <c r="AM421">
        <v>5</v>
      </c>
      <c r="AN421">
        <f t="shared" si="26"/>
        <v>480</v>
      </c>
      <c r="AO421" cm="1">
        <f t="array" ref="AO421">PRODUCT(_xlfn.XLOOKUP(AI421:AM421,$B$3:$B$6,$C$3:$C$6))</f>
        <v>0</v>
      </c>
      <c r="AP421">
        <f t="shared" si="27"/>
        <v>0</v>
      </c>
    </row>
    <row r="422" spans="35:42" x14ac:dyDescent="0.2">
      <c r="AI422">
        <v>3</v>
      </c>
      <c r="AJ422">
        <v>4</v>
      </c>
      <c r="AK422">
        <v>4</v>
      </c>
      <c r="AL422">
        <v>3</v>
      </c>
      <c r="AM422">
        <v>2</v>
      </c>
      <c r="AN422">
        <f t="shared" si="26"/>
        <v>288</v>
      </c>
      <c r="AO422" cm="1">
        <f t="array" ref="AO422">PRODUCT(_xlfn.XLOOKUP(AI422:AM422,$B$3:$B$6,$C$3:$C$6))</f>
        <v>0</v>
      </c>
      <c r="AP422">
        <f t="shared" si="27"/>
        <v>0</v>
      </c>
    </row>
    <row r="423" spans="35:42" x14ac:dyDescent="0.2">
      <c r="AI423">
        <v>3</v>
      </c>
      <c r="AJ423">
        <v>4</v>
      </c>
      <c r="AK423">
        <v>4</v>
      </c>
      <c r="AL423">
        <v>3</v>
      </c>
      <c r="AM423">
        <v>3</v>
      </c>
      <c r="AN423">
        <f t="shared" si="26"/>
        <v>432</v>
      </c>
      <c r="AO423" cm="1">
        <f t="array" ref="AO423">PRODUCT(_xlfn.XLOOKUP(AI423:AM423,$B$3:$B$6,$C$3:$C$6))</f>
        <v>0</v>
      </c>
      <c r="AP423">
        <f t="shared" si="27"/>
        <v>0</v>
      </c>
    </row>
    <row r="424" spans="35:42" x14ac:dyDescent="0.2">
      <c r="AI424">
        <v>3</v>
      </c>
      <c r="AJ424">
        <v>4</v>
      </c>
      <c r="AK424">
        <v>4</v>
      </c>
      <c r="AL424">
        <v>3</v>
      </c>
      <c r="AM424">
        <v>4</v>
      </c>
      <c r="AN424">
        <f t="shared" si="26"/>
        <v>576</v>
      </c>
      <c r="AO424" cm="1">
        <f t="array" ref="AO424">PRODUCT(_xlfn.XLOOKUP(AI424:AM424,$B$3:$B$6,$C$3:$C$6))</f>
        <v>0</v>
      </c>
      <c r="AP424">
        <f t="shared" si="27"/>
        <v>0</v>
      </c>
    </row>
    <row r="425" spans="35:42" x14ac:dyDescent="0.2">
      <c r="AI425">
        <v>3</v>
      </c>
      <c r="AJ425">
        <v>4</v>
      </c>
      <c r="AK425">
        <v>4</v>
      </c>
      <c r="AL425">
        <v>3</v>
      </c>
      <c r="AM425">
        <v>5</v>
      </c>
      <c r="AN425">
        <f t="shared" si="26"/>
        <v>720</v>
      </c>
      <c r="AO425" cm="1">
        <f t="array" ref="AO425">PRODUCT(_xlfn.XLOOKUP(AI425:AM425,$B$3:$B$6,$C$3:$C$6))</f>
        <v>0</v>
      </c>
      <c r="AP425">
        <f t="shared" si="27"/>
        <v>0</v>
      </c>
    </row>
    <row r="426" spans="35:42" x14ac:dyDescent="0.2">
      <c r="AI426">
        <v>3</v>
      </c>
      <c r="AJ426">
        <v>4</v>
      </c>
      <c r="AK426">
        <v>4</v>
      </c>
      <c r="AL426">
        <v>4</v>
      </c>
      <c r="AM426">
        <v>2</v>
      </c>
      <c r="AN426">
        <f t="shared" si="26"/>
        <v>384</v>
      </c>
      <c r="AO426" cm="1">
        <f t="array" ref="AO426">PRODUCT(_xlfn.XLOOKUP(AI426:AM426,$B$3:$B$6,$C$3:$C$6))</f>
        <v>0</v>
      </c>
      <c r="AP426">
        <f t="shared" si="27"/>
        <v>0</v>
      </c>
    </row>
    <row r="427" spans="35:42" x14ac:dyDescent="0.2">
      <c r="AI427">
        <v>3</v>
      </c>
      <c r="AJ427">
        <v>4</v>
      </c>
      <c r="AK427">
        <v>4</v>
      </c>
      <c r="AL427">
        <v>4</v>
      </c>
      <c r="AM427">
        <v>3</v>
      </c>
      <c r="AN427">
        <f t="shared" si="26"/>
        <v>576</v>
      </c>
      <c r="AO427" cm="1">
        <f t="array" ref="AO427">PRODUCT(_xlfn.XLOOKUP(AI427:AM427,$B$3:$B$6,$C$3:$C$6))</f>
        <v>0</v>
      </c>
      <c r="AP427">
        <f t="shared" si="27"/>
        <v>0</v>
      </c>
    </row>
    <row r="428" spans="35:42" x14ac:dyDescent="0.2">
      <c r="AI428">
        <v>3</v>
      </c>
      <c r="AJ428">
        <v>4</v>
      </c>
      <c r="AK428">
        <v>4</v>
      </c>
      <c r="AL428">
        <v>4</v>
      </c>
      <c r="AM428">
        <v>4</v>
      </c>
      <c r="AN428">
        <f t="shared" si="26"/>
        <v>768</v>
      </c>
      <c r="AO428" cm="1">
        <f t="array" ref="AO428">PRODUCT(_xlfn.XLOOKUP(AI428:AM428,$B$3:$B$6,$C$3:$C$6))</f>
        <v>0</v>
      </c>
      <c r="AP428">
        <f t="shared" si="27"/>
        <v>0</v>
      </c>
    </row>
    <row r="429" spans="35:42" x14ac:dyDescent="0.2">
      <c r="AI429">
        <v>3</v>
      </c>
      <c r="AJ429">
        <v>4</v>
      </c>
      <c r="AK429">
        <v>4</v>
      </c>
      <c r="AL429">
        <v>4</v>
      </c>
      <c r="AM429">
        <v>5</v>
      </c>
      <c r="AN429">
        <f t="shared" si="26"/>
        <v>960</v>
      </c>
      <c r="AO429" cm="1">
        <f t="array" ref="AO429">PRODUCT(_xlfn.XLOOKUP(AI429:AM429,$B$3:$B$6,$C$3:$C$6))</f>
        <v>0</v>
      </c>
      <c r="AP429">
        <f t="shared" si="27"/>
        <v>0</v>
      </c>
    </row>
    <row r="430" spans="35:42" x14ac:dyDescent="0.2">
      <c r="AI430">
        <v>3</v>
      </c>
      <c r="AJ430">
        <v>4</v>
      </c>
      <c r="AK430">
        <v>4</v>
      </c>
      <c r="AL430">
        <v>5</v>
      </c>
      <c r="AM430">
        <v>2</v>
      </c>
      <c r="AN430">
        <f t="shared" si="26"/>
        <v>480</v>
      </c>
      <c r="AO430" cm="1">
        <f t="array" ref="AO430">PRODUCT(_xlfn.XLOOKUP(AI430:AM430,$B$3:$B$6,$C$3:$C$6))</f>
        <v>0</v>
      </c>
      <c r="AP430">
        <f t="shared" si="27"/>
        <v>0</v>
      </c>
    </row>
    <row r="431" spans="35:42" x14ac:dyDescent="0.2">
      <c r="AI431">
        <v>3</v>
      </c>
      <c r="AJ431">
        <v>4</v>
      </c>
      <c r="AK431">
        <v>4</v>
      </c>
      <c r="AL431">
        <v>5</v>
      </c>
      <c r="AM431">
        <v>3</v>
      </c>
      <c r="AN431">
        <f t="shared" si="26"/>
        <v>720</v>
      </c>
      <c r="AO431" cm="1">
        <f t="array" ref="AO431">PRODUCT(_xlfn.XLOOKUP(AI431:AM431,$B$3:$B$6,$C$3:$C$6))</f>
        <v>0</v>
      </c>
      <c r="AP431">
        <f t="shared" si="27"/>
        <v>0</v>
      </c>
    </row>
    <row r="432" spans="35:42" x14ac:dyDescent="0.2">
      <c r="AI432">
        <v>3</v>
      </c>
      <c r="AJ432">
        <v>4</v>
      </c>
      <c r="AK432">
        <v>4</v>
      </c>
      <c r="AL432">
        <v>5</v>
      </c>
      <c r="AM432">
        <v>4</v>
      </c>
      <c r="AN432">
        <f t="shared" si="26"/>
        <v>960</v>
      </c>
      <c r="AO432" cm="1">
        <f t="array" ref="AO432">PRODUCT(_xlfn.XLOOKUP(AI432:AM432,$B$3:$B$6,$C$3:$C$6))</f>
        <v>0</v>
      </c>
      <c r="AP432">
        <f t="shared" si="27"/>
        <v>0</v>
      </c>
    </row>
    <row r="433" spans="35:42" x14ac:dyDescent="0.2">
      <c r="AI433">
        <v>3</v>
      </c>
      <c r="AJ433">
        <v>4</v>
      </c>
      <c r="AK433">
        <v>4</v>
      </c>
      <c r="AL433">
        <v>5</v>
      </c>
      <c r="AM433">
        <v>5</v>
      </c>
      <c r="AN433">
        <f t="shared" si="26"/>
        <v>1200</v>
      </c>
      <c r="AO433" cm="1">
        <f t="array" ref="AO433">PRODUCT(_xlfn.XLOOKUP(AI433:AM433,$B$3:$B$6,$C$3:$C$6))</f>
        <v>0</v>
      </c>
      <c r="AP433">
        <f t="shared" si="27"/>
        <v>0</v>
      </c>
    </row>
    <row r="434" spans="35:42" x14ac:dyDescent="0.2">
      <c r="AI434">
        <v>3</v>
      </c>
      <c r="AJ434">
        <v>4</v>
      </c>
      <c r="AK434">
        <v>5</v>
      </c>
      <c r="AL434">
        <v>2</v>
      </c>
      <c r="AM434">
        <v>2</v>
      </c>
      <c r="AN434">
        <f t="shared" si="26"/>
        <v>240</v>
      </c>
      <c r="AO434" cm="1">
        <f t="array" ref="AO434">PRODUCT(_xlfn.XLOOKUP(AI434:AM434,$B$3:$B$6,$C$3:$C$6))</f>
        <v>0</v>
      </c>
      <c r="AP434">
        <f t="shared" si="27"/>
        <v>0</v>
      </c>
    </row>
    <row r="435" spans="35:42" x14ac:dyDescent="0.2">
      <c r="AI435">
        <v>3</v>
      </c>
      <c r="AJ435">
        <v>4</v>
      </c>
      <c r="AK435">
        <v>5</v>
      </c>
      <c r="AL435">
        <v>2</v>
      </c>
      <c r="AM435">
        <v>3</v>
      </c>
      <c r="AN435">
        <f t="shared" si="26"/>
        <v>360</v>
      </c>
      <c r="AO435" cm="1">
        <f t="array" ref="AO435">PRODUCT(_xlfn.XLOOKUP(AI435:AM435,$B$3:$B$6,$C$3:$C$6))</f>
        <v>0</v>
      </c>
      <c r="AP435">
        <f t="shared" si="27"/>
        <v>0</v>
      </c>
    </row>
    <row r="436" spans="35:42" x14ac:dyDescent="0.2">
      <c r="AI436">
        <v>3</v>
      </c>
      <c r="AJ436">
        <v>4</v>
      </c>
      <c r="AK436">
        <v>5</v>
      </c>
      <c r="AL436">
        <v>2</v>
      </c>
      <c r="AM436">
        <v>4</v>
      </c>
      <c r="AN436">
        <f t="shared" si="26"/>
        <v>480</v>
      </c>
      <c r="AO436" cm="1">
        <f t="array" ref="AO436">PRODUCT(_xlfn.XLOOKUP(AI436:AM436,$B$3:$B$6,$C$3:$C$6))</f>
        <v>0</v>
      </c>
      <c r="AP436">
        <f t="shared" si="27"/>
        <v>0</v>
      </c>
    </row>
    <row r="437" spans="35:42" x14ac:dyDescent="0.2">
      <c r="AI437">
        <v>3</v>
      </c>
      <c r="AJ437">
        <v>4</v>
      </c>
      <c r="AK437">
        <v>5</v>
      </c>
      <c r="AL437">
        <v>2</v>
      </c>
      <c r="AM437">
        <v>5</v>
      </c>
      <c r="AN437">
        <f t="shared" si="26"/>
        <v>600</v>
      </c>
      <c r="AO437" cm="1">
        <f t="array" ref="AO437">PRODUCT(_xlfn.XLOOKUP(AI437:AM437,$B$3:$B$6,$C$3:$C$6))</f>
        <v>0</v>
      </c>
      <c r="AP437">
        <f t="shared" si="27"/>
        <v>0</v>
      </c>
    </row>
    <row r="438" spans="35:42" x14ac:dyDescent="0.2">
      <c r="AI438">
        <v>3</v>
      </c>
      <c r="AJ438">
        <v>4</v>
      </c>
      <c r="AK438">
        <v>5</v>
      </c>
      <c r="AL438">
        <v>3</v>
      </c>
      <c r="AM438">
        <v>2</v>
      </c>
      <c r="AN438">
        <f t="shared" si="26"/>
        <v>360</v>
      </c>
      <c r="AO438" cm="1">
        <f t="array" ref="AO438">PRODUCT(_xlfn.XLOOKUP(AI438:AM438,$B$3:$B$6,$C$3:$C$6))</f>
        <v>0</v>
      </c>
      <c r="AP438">
        <f t="shared" si="27"/>
        <v>0</v>
      </c>
    </row>
    <row r="439" spans="35:42" x14ac:dyDescent="0.2">
      <c r="AI439">
        <v>3</v>
      </c>
      <c r="AJ439">
        <v>4</v>
      </c>
      <c r="AK439">
        <v>5</v>
      </c>
      <c r="AL439">
        <v>3</v>
      </c>
      <c r="AM439">
        <v>3</v>
      </c>
      <c r="AN439">
        <f t="shared" si="26"/>
        <v>540</v>
      </c>
      <c r="AO439" cm="1">
        <f t="array" ref="AO439">PRODUCT(_xlfn.XLOOKUP(AI439:AM439,$B$3:$B$6,$C$3:$C$6))</f>
        <v>0</v>
      </c>
      <c r="AP439">
        <f t="shared" si="27"/>
        <v>0</v>
      </c>
    </row>
    <row r="440" spans="35:42" x14ac:dyDescent="0.2">
      <c r="AI440">
        <v>3</v>
      </c>
      <c r="AJ440">
        <v>4</v>
      </c>
      <c r="AK440">
        <v>5</v>
      </c>
      <c r="AL440">
        <v>3</v>
      </c>
      <c r="AM440">
        <v>4</v>
      </c>
      <c r="AN440">
        <f t="shared" si="26"/>
        <v>720</v>
      </c>
      <c r="AO440" cm="1">
        <f t="array" ref="AO440">PRODUCT(_xlfn.XLOOKUP(AI440:AM440,$B$3:$B$6,$C$3:$C$6))</f>
        <v>0</v>
      </c>
      <c r="AP440">
        <f t="shared" si="27"/>
        <v>0</v>
      </c>
    </row>
    <row r="441" spans="35:42" x14ac:dyDescent="0.2">
      <c r="AI441">
        <v>3</v>
      </c>
      <c r="AJ441">
        <v>4</v>
      </c>
      <c r="AK441">
        <v>5</v>
      </c>
      <c r="AL441">
        <v>3</v>
      </c>
      <c r="AM441">
        <v>5</v>
      </c>
      <c r="AN441">
        <f t="shared" si="26"/>
        <v>900</v>
      </c>
      <c r="AO441" cm="1">
        <f t="array" ref="AO441">PRODUCT(_xlfn.XLOOKUP(AI441:AM441,$B$3:$B$6,$C$3:$C$6))</f>
        <v>0</v>
      </c>
      <c r="AP441">
        <f t="shared" si="27"/>
        <v>0</v>
      </c>
    </row>
    <row r="442" spans="35:42" x14ac:dyDescent="0.2">
      <c r="AI442">
        <v>3</v>
      </c>
      <c r="AJ442">
        <v>4</v>
      </c>
      <c r="AK442">
        <v>5</v>
      </c>
      <c r="AL442">
        <v>4</v>
      </c>
      <c r="AM442">
        <v>2</v>
      </c>
      <c r="AN442">
        <f t="shared" si="26"/>
        <v>480</v>
      </c>
      <c r="AO442" cm="1">
        <f t="array" ref="AO442">PRODUCT(_xlfn.XLOOKUP(AI442:AM442,$B$3:$B$6,$C$3:$C$6))</f>
        <v>0</v>
      </c>
      <c r="AP442">
        <f t="shared" si="27"/>
        <v>0</v>
      </c>
    </row>
    <row r="443" spans="35:42" x14ac:dyDescent="0.2">
      <c r="AI443">
        <v>3</v>
      </c>
      <c r="AJ443">
        <v>4</v>
      </c>
      <c r="AK443">
        <v>5</v>
      </c>
      <c r="AL443">
        <v>4</v>
      </c>
      <c r="AM443">
        <v>3</v>
      </c>
      <c r="AN443">
        <f t="shared" si="26"/>
        <v>720</v>
      </c>
      <c r="AO443" cm="1">
        <f t="array" ref="AO443">PRODUCT(_xlfn.XLOOKUP(AI443:AM443,$B$3:$B$6,$C$3:$C$6))</f>
        <v>0</v>
      </c>
      <c r="AP443">
        <f t="shared" si="27"/>
        <v>0</v>
      </c>
    </row>
    <row r="444" spans="35:42" x14ac:dyDescent="0.2">
      <c r="AI444">
        <v>3</v>
      </c>
      <c r="AJ444">
        <v>4</v>
      </c>
      <c r="AK444">
        <v>5</v>
      </c>
      <c r="AL444">
        <v>4</v>
      </c>
      <c r="AM444">
        <v>4</v>
      </c>
      <c r="AN444">
        <f t="shared" si="26"/>
        <v>960</v>
      </c>
      <c r="AO444" cm="1">
        <f t="array" ref="AO444">PRODUCT(_xlfn.XLOOKUP(AI444:AM444,$B$3:$B$6,$C$3:$C$6))</f>
        <v>0</v>
      </c>
      <c r="AP444">
        <f t="shared" si="27"/>
        <v>0</v>
      </c>
    </row>
    <row r="445" spans="35:42" x14ac:dyDescent="0.2">
      <c r="AI445">
        <v>3</v>
      </c>
      <c r="AJ445">
        <v>4</v>
      </c>
      <c r="AK445">
        <v>5</v>
      </c>
      <c r="AL445">
        <v>4</v>
      </c>
      <c r="AM445">
        <v>5</v>
      </c>
      <c r="AN445">
        <f t="shared" si="26"/>
        <v>1200</v>
      </c>
      <c r="AO445" cm="1">
        <f t="array" ref="AO445">PRODUCT(_xlfn.XLOOKUP(AI445:AM445,$B$3:$B$6,$C$3:$C$6))</f>
        <v>0</v>
      </c>
      <c r="AP445">
        <f t="shared" si="27"/>
        <v>0</v>
      </c>
    </row>
    <row r="446" spans="35:42" x14ac:dyDescent="0.2">
      <c r="AI446">
        <v>3</v>
      </c>
      <c r="AJ446">
        <v>4</v>
      </c>
      <c r="AK446">
        <v>5</v>
      </c>
      <c r="AL446">
        <v>5</v>
      </c>
      <c r="AM446">
        <v>2</v>
      </c>
      <c r="AN446">
        <f t="shared" si="26"/>
        <v>600</v>
      </c>
      <c r="AO446" cm="1">
        <f t="array" ref="AO446">PRODUCT(_xlfn.XLOOKUP(AI446:AM446,$B$3:$B$6,$C$3:$C$6))</f>
        <v>0</v>
      </c>
      <c r="AP446">
        <f t="shared" si="27"/>
        <v>0</v>
      </c>
    </row>
    <row r="447" spans="35:42" x14ac:dyDescent="0.2">
      <c r="AI447">
        <v>3</v>
      </c>
      <c r="AJ447">
        <v>4</v>
      </c>
      <c r="AK447">
        <v>5</v>
      </c>
      <c r="AL447">
        <v>5</v>
      </c>
      <c r="AM447">
        <v>3</v>
      </c>
      <c r="AN447">
        <f t="shared" si="26"/>
        <v>900</v>
      </c>
      <c r="AO447" cm="1">
        <f t="array" ref="AO447">PRODUCT(_xlfn.XLOOKUP(AI447:AM447,$B$3:$B$6,$C$3:$C$6))</f>
        <v>0</v>
      </c>
      <c r="AP447">
        <f t="shared" si="27"/>
        <v>0</v>
      </c>
    </row>
    <row r="448" spans="35:42" x14ac:dyDescent="0.2">
      <c r="AI448">
        <v>3</v>
      </c>
      <c r="AJ448">
        <v>4</v>
      </c>
      <c r="AK448">
        <v>5</v>
      </c>
      <c r="AL448">
        <v>5</v>
      </c>
      <c r="AM448">
        <v>4</v>
      </c>
      <c r="AN448">
        <f t="shared" si="26"/>
        <v>1200</v>
      </c>
      <c r="AO448" cm="1">
        <f t="array" ref="AO448">PRODUCT(_xlfn.XLOOKUP(AI448:AM448,$B$3:$B$6,$C$3:$C$6))</f>
        <v>0</v>
      </c>
      <c r="AP448">
        <f t="shared" si="27"/>
        <v>0</v>
      </c>
    </row>
    <row r="449" spans="35:42" x14ac:dyDescent="0.2">
      <c r="AI449">
        <v>3</v>
      </c>
      <c r="AJ449">
        <v>4</v>
      </c>
      <c r="AK449">
        <v>5</v>
      </c>
      <c r="AL449">
        <v>5</v>
      </c>
      <c r="AM449">
        <v>5</v>
      </c>
      <c r="AN449">
        <f t="shared" si="26"/>
        <v>1500</v>
      </c>
      <c r="AO449" cm="1">
        <f t="array" ref="AO449">PRODUCT(_xlfn.XLOOKUP(AI449:AM449,$B$3:$B$6,$C$3:$C$6))</f>
        <v>0</v>
      </c>
      <c r="AP449">
        <f t="shared" si="27"/>
        <v>0</v>
      </c>
    </row>
    <row r="450" spans="35:42" x14ac:dyDescent="0.2">
      <c r="AI450">
        <v>3</v>
      </c>
      <c r="AJ450">
        <v>5</v>
      </c>
      <c r="AK450">
        <v>2</v>
      </c>
      <c r="AL450">
        <v>2</v>
      </c>
      <c r="AM450">
        <v>2</v>
      </c>
      <c r="AN450">
        <f t="shared" si="26"/>
        <v>120</v>
      </c>
      <c r="AO450" cm="1">
        <f t="array" ref="AO450">PRODUCT(_xlfn.XLOOKUP(AI450:AM450,$B$3:$B$6,$C$3:$C$6))</f>
        <v>8.553599999999998E-3</v>
      </c>
      <c r="AP450">
        <f t="shared" si="27"/>
        <v>1.0264319999999998</v>
      </c>
    </row>
    <row r="451" spans="35:42" x14ac:dyDescent="0.2">
      <c r="AI451">
        <v>3</v>
      </c>
      <c r="AJ451">
        <v>5</v>
      </c>
      <c r="AK451">
        <v>2</v>
      </c>
      <c r="AL451">
        <v>2</v>
      </c>
      <c r="AM451">
        <v>3</v>
      </c>
      <c r="AN451">
        <f t="shared" ref="AN451:AN514" si="28">PRODUCT(AI451:AM451)</f>
        <v>180</v>
      </c>
      <c r="AO451" cm="1">
        <f t="array" ref="AO451">PRODUCT(_xlfn.XLOOKUP(AI451:AM451,$B$3:$B$6,$C$3:$C$6))</f>
        <v>3.1363199999999997E-3</v>
      </c>
      <c r="AP451">
        <f t="shared" ref="AP451:AP514" si="29">AN451*AO451</f>
        <v>0.56453759999999997</v>
      </c>
    </row>
    <row r="452" spans="35:42" x14ac:dyDescent="0.2">
      <c r="AI452">
        <v>3</v>
      </c>
      <c r="AJ452">
        <v>5</v>
      </c>
      <c r="AK452">
        <v>2</v>
      </c>
      <c r="AL452">
        <v>2</v>
      </c>
      <c r="AM452">
        <v>4</v>
      </c>
      <c r="AN452">
        <f t="shared" si="28"/>
        <v>240</v>
      </c>
      <c r="AO452" cm="1">
        <f t="array" ref="AO452">PRODUCT(_xlfn.XLOOKUP(AI452:AM452,$B$3:$B$6,$C$3:$C$6))</f>
        <v>0</v>
      </c>
      <c r="AP452">
        <f t="shared" si="29"/>
        <v>0</v>
      </c>
    </row>
    <row r="453" spans="35:42" x14ac:dyDescent="0.2">
      <c r="AI453">
        <v>3</v>
      </c>
      <c r="AJ453">
        <v>5</v>
      </c>
      <c r="AK453">
        <v>2</v>
      </c>
      <c r="AL453">
        <v>2</v>
      </c>
      <c r="AM453">
        <v>5</v>
      </c>
      <c r="AN453">
        <f t="shared" si="28"/>
        <v>300</v>
      </c>
      <c r="AO453" cm="1">
        <f t="array" ref="AO453">PRODUCT(_xlfn.XLOOKUP(AI453:AM453,$B$3:$B$6,$C$3:$C$6))</f>
        <v>2.5660799999999997E-3</v>
      </c>
      <c r="AP453">
        <f t="shared" si="29"/>
        <v>0.76982399999999995</v>
      </c>
    </row>
    <row r="454" spans="35:42" x14ac:dyDescent="0.2">
      <c r="AI454">
        <v>3</v>
      </c>
      <c r="AJ454">
        <v>5</v>
      </c>
      <c r="AK454">
        <v>2</v>
      </c>
      <c r="AL454">
        <v>3</v>
      </c>
      <c r="AM454">
        <v>2</v>
      </c>
      <c r="AN454">
        <f t="shared" si="28"/>
        <v>180</v>
      </c>
      <c r="AO454" cm="1">
        <f t="array" ref="AO454">PRODUCT(_xlfn.XLOOKUP(AI454:AM454,$B$3:$B$6,$C$3:$C$6))</f>
        <v>3.1363199999999997E-3</v>
      </c>
      <c r="AP454">
        <f t="shared" si="29"/>
        <v>0.56453759999999997</v>
      </c>
    </row>
    <row r="455" spans="35:42" x14ac:dyDescent="0.2">
      <c r="AI455">
        <v>3</v>
      </c>
      <c r="AJ455">
        <v>5</v>
      </c>
      <c r="AK455">
        <v>2</v>
      </c>
      <c r="AL455">
        <v>3</v>
      </c>
      <c r="AM455">
        <v>3</v>
      </c>
      <c r="AN455">
        <f t="shared" si="28"/>
        <v>270</v>
      </c>
      <c r="AO455" cm="1">
        <f t="array" ref="AO455">PRODUCT(_xlfn.XLOOKUP(AI455:AM455,$B$3:$B$6,$C$3:$C$6))</f>
        <v>1.1499839999999999E-3</v>
      </c>
      <c r="AP455">
        <f t="shared" si="29"/>
        <v>0.31049568</v>
      </c>
    </row>
    <row r="456" spans="35:42" x14ac:dyDescent="0.2">
      <c r="AI456">
        <v>3</v>
      </c>
      <c r="AJ456">
        <v>5</v>
      </c>
      <c r="AK456">
        <v>2</v>
      </c>
      <c r="AL456">
        <v>3</v>
      </c>
      <c r="AM456">
        <v>4</v>
      </c>
      <c r="AN456">
        <f t="shared" si="28"/>
        <v>360</v>
      </c>
      <c r="AO456" cm="1">
        <f t="array" ref="AO456">PRODUCT(_xlfn.XLOOKUP(AI456:AM456,$B$3:$B$6,$C$3:$C$6))</f>
        <v>0</v>
      </c>
      <c r="AP456">
        <f t="shared" si="29"/>
        <v>0</v>
      </c>
    </row>
    <row r="457" spans="35:42" x14ac:dyDescent="0.2">
      <c r="AI457">
        <v>3</v>
      </c>
      <c r="AJ457">
        <v>5</v>
      </c>
      <c r="AK457">
        <v>2</v>
      </c>
      <c r="AL457">
        <v>3</v>
      </c>
      <c r="AM457">
        <v>5</v>
      </c>
      <c r="AN457">
        <f t="shared" si="28"/>
        <v>450</v>
      </c>
      <c r="AO457" cm="1">
        <f t="array" ref="AO457">PRODUCT(_xlfn.XLOOKUP(AI457:AM457,$B$3:$B$6,$C$3:$C$6))</f>
        <v>9.4089599999999988E-4</v>
      </c>
      <c r="AP457">
        <f t="shared" si="29"/>
        <v>0.42340319999999992</v>
      </c>
    </row>
    <row r="458" spans="35:42" x14ac:dyDescent="0.2">
      <c r="AI458">
        <v>3</v>
      </c>
      <c r="AJ458">
        <v>5</v>
      </c>
      <c r="AK458">
        <v>2</v>
      </c>
      <c r="AL458">
        <v>4</v>
      </c>
      <c r="AM458">
        <v>2</v>
      </c>
      <c r="AN458">
        <f t="shared" si="28"/>
        <v>240</v>
      </c>
      <c r="AO458" cm="1">
        <f t="array" ref="AO458">PRODUCT(_xlfn.XLOOKUP(AI458:AM458,$B$3:$B$6,$C$3:$C$6))</f>
        <v>0</v>
      </c>
      <c r="AP458">
        <f t="shared" si="29"/>
        <v>0</v>
      </c>
    </row>
    <row r="459" spans="35:42" x14ac:dyDescent="0.2">
      <c r="AI459">
        <v>3</v>
      </c>
      <c r="AJ459">
        <v>5</v>
      </c>
      <c r="AK459">
        <v>2</v>
      </c>
      <c r="AL459">
        <v>4</v>
      </c>
      <c r="AM459">
        <v>3</v>
      </c>
      <c r="AN459">
        <f t="shared" si="28"/>
        <v>360</v>
      </c>
      <c r="AO459" cm="1">
        <f t="array" ref="AO459">PRODUCT(_xlfn.XLOOKUP(AI459:AM459,$B$3:$B$6,$C$3:$C$6))</f>
        <v>0</v>
      </c>
      <c r="AP459">
        <f t="shared" si="29"/>
        <v>0</v>
      </c>
    </row>
    <row r="460" spans="35:42" x14ac:dyDescent="0.2">
      <c r="AI460">
        <v>3</v>
      </c>
      <c r="AJ460">
        <v>5</v>
      </c>
      <c r="AK460">
        <v>2</v>
      </c>
      <c r="AL460">
        <v>4</v>
      </c>
      <c r="AM460">
        <v>4</v>
      </c>
      <c r="AN460">
        <f t="shared" si="28"/>
        <v>480</v>
      </c>
      <c r="AO460" cm="1">
        <f t="array" ref="AO460">PRODUCT(_xlfn.XLOOKUP(AI460:AM460,$B$3:$B$6,$C$3:$C$6))</f>
        <v>0</v>
      </c>
      <c r="AP460">
        <f t="shared" si="29"/>
        <v>0</v>
      </c>
    </row>
    <row r="461" spans="35:42" x14ac:dyDescent="0.2">
      <c r="AI461">
        <v>3</v>
      </c>
      <c r="AJ461">
        <v>5</v>
      </c>
      <c r="AK461">
        <v>2</v>
      </c>
      <c r="AL461">
        <v>4</v>
      </c>
      <c r="AM461">
        <v>5</v>
      </c>
      <c r="AN461">
        <f t="shared" si="28"/>
        <v>600</v>
      </c>
      <c r="AO461" cm="1">
        <f t="array" ref="AO461">PRODUCT(_xlfn.XLOOKUP(AI461:AM461,$B$3:$B$6,$C$3:$C$6))</f>
        <v>0</v>
      </c>
      <c r="AP461">
        <f t="shared" si="29"/>
        <v>0</v>
      </c>
    </row>
    <row r="462" spans="35:42" x14ac:dyDescent="0.2">
      <c r="AI462">
        <v>3</v>
      </c>
      <c r="AJ462">
        <v>5</v>
      </c>
      <c r="AK462">
        <v>2</v>
      </c>
      <c r="AL462">
        <v>5</v>
      </c>
      <c r="AM462">
        <v>2</v>
      </c>
      <c r="AN462">
        <f t="shared" si="28"/>
        <v>300</v>
      </c>
      <c r="AO462" cm="1">
        <f t="array" ref="AO462">PRODUCT(_xlfn.XLOOKUP(AI462:AM462,$B$3:$B$6,$C$3:$C$6))</f>
        <v>2.5660799999999992E-3</v>
      </c>
      <c r="AP462">
        <f t="shared" si="29"/>
        <v>0.76982399999999973</v>
      </c>
    </row>
    <row r="463" spans="35:42" x14ac:dyDescent="0.2">
      <c r="AI463">
        <v>3</v>
      </c>
      <c r="AJ463">
        <v>5</v>
      </c>
      <c r="AK463">
        <v>2</v>
      </c>
      <c r="AL463">
        <v>5</v>
      </c>
      <c r="AM463">
        <v>3</v>
      </c>
      <c r="AN463">
        <f t="shared" si="28"/>
        <v>450</v>
      </c>
      <c r="AO463" cm="1">
        <f t="array" ref="AO463">PRODUCT(_xlfn.XLOOKUP(AI463:AM463,$B$3:$B$6,$C$3:$C$6))</f>
        <v>9.4089599999999977E-4</v>
      </c>
      <c r="AP463">
        <f t="shared" si="29"/>
        <v>0.42340319999999987</v>
      </c>
    </row>
    <row r="464" spans="35:42" x14ac:dyDescent="0.2">
      <c r="AI464">
        <v>3</v>
      </c>
      <c r="AJ464">
        <v>5</v>
      </c>
      <c r="AK464">
        <v>2</v>
      </c>
      <c r="AL464">
        <v>5</v>
      </c>
      <c r="AM464">
        <v>4</v>
      </c>
      <c r="AN464">
        <f t="shared" si="28"/>
        <v>600</v>
      </c>
      <c r="AO464" cm="1">
        <f t="array" ref="AO464">PRODUCT(_xlfn.XLOOKUP(AI464:AM464,$B$3:$B$6,$C$3:$C$6))</f>
        <v>0</v>
      </c>
      <c r="AP464">
        <f t="shared" si="29"/>
        <v>0</v>
      </c>
    </row>
    <row r="465" spans="35:42" x14ac:dyDescent="0.2">
      <c r="AI465">
        <v>3</v>
      </c>
      <c r="AJ465">
        <v>5</v>
      </c>
      <c r="AK465">
        <v>2</v>
      </c>
      <c r="AL465">
        <v>5</v>
      </c>
      <c r="AM465">
        <v>5</v>
      </c>
      <c r="AN465">
        <f t="shared" si="28"/>
        <v>750</v>
      </c>
      <c r="AO465" cm="1">
        <f t="array" ref="AO465">PRODUCT(_xlfn.XLOOKUP(AI465:AM465,$B$3:$B$6,$C$3:$C$6))</f>
        <v>7.6982399999999979E-4</v>
      </c>
      <c r="AP465">
        <f t="shared" si="29"/>
        <v>0.57736799999999988</v>
      </c>
    </row>
    <row r="466" spans="35:42" x14ac:dyDescent="0.2">
      <c r="AI466">
        <v>3</v>
      </c>
      <c r="AJ466">
        <v>5</v>
      </c>
      <c r="AK466">
        <v>3</v>
      </c>
      <c r="AL466">
        <v>2</v>
      </c>
      <c r="AM466">
        <v>2</v>
      </c>
      <c r="AN466">
        <f t="shared" si="28"/>
        <v>180</v>
      </c>
      <c r="AO466" cm="1">
        <f t="array" ref="AO466">PRODUCT(_xlfn.XLOOKUP(AI466:AM466,$B$3:$B$6,$C$3:$C$6))</f>
        <v>3.1363199999999997E-3</v>
      </c>
      <c r="AP466">
        <f t="shared" si="29"/>
        <v>0.56453759999999997</v>
      </c>
    </row>
    <row r="467" spans="35:42" x14ac:dyDescent="0.2">
      <c r="AI467">
        <v>3</v>
      </c>
      <c r="AJ467">
        <v>5</v>
      </c>
      <c r="AK467">
        <v>3</v>
      </c>
      <c r="AL467">
        <v>2</v>
      </c>
      <c r="AM467">
        <v>3</v>
      </c>
      <c r="AN467">
        <f t="shared" si="28"/>
        <v>270</v>
      </c>
      <c r="AO467" cm="1">
        <f t="array" ref="AO467">PRODUCT(_xlfn.XLOOKUP(AI467:AM467,$B$3:$B$6,$C$3:$C$6))</f>
        <v>1.1499839999999999E-3</v>
      </c>
      <c r="AP467">
        <f t="shared" si="29"/>
        <v>0.31049568</v>
      </c>
    </row>
    <row r="468" spans="35:42" x14ac:dyDescent="0.2">
      <c r="AI468">
        <v>3</v>
      </c>
      <c r="AJ468">
        <v>5</v>
      </c>
      <c r="AK468">
        <v>3</v>
      </c>
      <c r="AL468">
        <v>2</v>
      </c>
      <c r="AM468">
        <v>4</v>
      </c>
      <c r="AN468">
        <f t="shared" si="28"/>
        <v>360</v>
      </c>
      <c r="AO468" cm="1">
        <f t="array" ref="AO468">PRODUCT(_xlfn.XLOOKUP(AI468:AM468,$B$3:$B$6,$C$3:$C$6))</f>
        <v>0</v>
      </c>
      <c r="AP468">
        <f t="shared" si="29"/>
        <v>0</v>
      </c>
    </row>
    <row r="469" spans="35:42" x14ac:dyDescent="0.2">
      <c r="AI469">
        <v>3</v>
      </c>
      <c r="AJ469">
        <v>5</v>
      </c>
      <c r="AK469">
        <v>3</v>
      </c>
      <c r="AL469">
        <v>2</v>
      </c>
      <c r="AM469">
        <v>5</v>
      </c>
      <c r="AN469">
        <f t="shared" si="28"/>
        <v>450</v>
      </c>
      <c r="AO469" cm="1">
        <f t="array" ref="AO469">PRODUCT(_xlfn.XLOOKUP(AI469:AM469,$B$3:$B$6,$C$3:$C$6))</f>
        <v>9.4089599999999988E-4</v>
      </c>
      <c r="AP469">
        <f t="shared" si="29"/>
        <v>0.42340319999999992</v>
      </c>
    </row>
    <row r="470" spans="35:42" x14ac:dyDescent="0.2">
      <c r="AI470">
        <v>3</v>
      </c>
      <c r="AJ470">
        <v>5</v>
      </c>
      <c r="AK470">
        <v>3</v>
      </c>
      <c r="AL470">
        <v>3</v>
      </c>
      <c r="AM470">
        <v>2</v>
      </c>
      <c r="AN470">
        <f t="shared" si="28"/>
        <v>270</v>
      </c>
      <c r="AO470" cm="1">
        <f t="array" ref="AO470">PRODUCT(_xlfn.XLOOKUP(AI470:AM470,$B$3:$B$6,$C$3:$C$6))</f>
        <v>1.1499839999999999E-3</v>
      </c>
      <c r="AP470">
        <f t="shared" si="29"/>
        <v>0.31049568</v>
      </c>
    </row>
    <row r="471" spans="35:42" x14ac:dyDescent="0.2">
      <c r="AI471">
        <v>3</v>
      </c>
      <c r="AJ471">
        <v>5</v>
      </c>
      <c r="AK471">
        <v>3</v>
      </c>
      <c r="AL471">
        <v>3</v>
      </c>
      <c r="AM471">
        <v>3</v>
      </c>
      <c r="AN471">
        <f t="shared" si="28"/>
        <v>405</v>
      </c>
      <c r="AO471" cm="1">
        <f t="array" ref="AO471">PRODUCT(_xlfn.XLOOKUP(AI471:AM471,$B$3:$B$6,$C$3:$C$6))</f>
        <v>4.2166079999999997E-4</v>
      </c>
      <c r="AP471">
        <f t="shared" si="29"/>
        <v>0.17077262399999998</v>
      </c>
    </row>
    <row r="472" spans="35:42" x14ac:dyDescent="0.2">
      <c r="AI472">
        <v>3</v>
      </c>
      <c r="AJ472">
        <v>5</v>
      </c>
      <c r="AK472">
        <v>3</v>
      </c>
      <c r="AL472">
        <v>3</v>
      </c>
      <c r="AM472">
        <v>4</v>
      </c>
      <c r="AN472">
        <f t="shared" si="28"/>
        <v>540</v>
      </c>
      <c r="AO472" cm="1">
        <f t="array" ref="AO472">PRODUCT(_xlfn.XLOOKUP(AI472:AM472,$B$3:$B$6,$C$3:$C$6))</f>
        <v>0</v>
      </c>
      <c r="AP472">
        <f t="shared" si="29"/>
        <v>0</v>
      </c>
    </row>
    <row r="473" spans="35:42" x14ac:dyDescent="0.2">
      <c r="AI473">
        <v>3</v>
      </c>
      <c r="AJ473">
        <v>5</v>
      </c>
      <c r="AK473">
        <v>3</v>
      </c>
      <c r="AL473">
        <v>3</v>
      </c>
      <c r="AM473">
        <v>5</v>
      </c>
      <c r="AN473">
        <f t="shared" si="28"/>
        <v>675</v>
      </c>
      <c r="AO473" cm="1">
        <f t="array" ref="AO473">PRODUCT(_xlfn.XLOOKUP(AI473:AM473,$B$3:$B$6,$C$3:$C$6))</f>
        <v>3.4499519999999997E-4</v>
      </c>
      <c r="AP473">
        <f t="shared" si="29"/>
        <v>0.23287175999999998</v>
      </c>
    </row>
    <row r="474" spans="35:42" x14ac:dyDescent="0.2">
      <c r="AI474">
        <v>3</v>
      </c>
      <c r="AJ474">
        <v>5</v>
      </c>
      <c r="AK474">
        <v>3</v>
      </c>
      <c r="AL474">
        <v>4</v>
      </c>
      <c r="AM474">
        <v>2</v>
      </c>
      <c r="AN474">
        <f t="shared" si="28"/>
        <v>360</v>
      </c>
      <c r="AO474" cm="1">
        <f t="array" ref="AO474">PRODUCT(_xlfn.XLOOKUP(AI474:AM474,$B$3:$B$6,$C$3:$C$6))</f>
        <v>0</v>
      </c>
      <c r="AP474">
        <f t="shared" si="29"/>
        <v>0</v>
      </c>
    </row>
    <row r="475" spans="35:42" x14ac:dyDescent="0.2">
      <c r="AI475">
        <v>3</v>
      </c>
      <c r="AJ475">
        <v>5</v>
      </c>
      <c r="AK475">
        <v>3</v>
      </c>
      <c r="AL475">
        <v>4</v>
      </c>
      <c r="AM475">
        <v>3</v>
      </c>
      <c r="AN475">
        <f t="shared" si="28"/>
        <v>540</v>
      </c>
      <c r="AO475" cm="1">
        <f t="array" ref="AO475">PRODUCT(_xlfn.XLOOKUP(AI475:AM475,$B$3:$B$6,$C$3:$C$6))</f>
        <v>0</v>
      </c>
      <c r="AP475">
        <f t="shared" si="29"/>
        <v>0</v>
      </c>
    </row>
    <row r="476" spans="35:42" x14ac:dyDescent="0.2">
      <c r="AI476">
        <v>3</v>
      </c>
      <c r="AJ476">
        <v>5</v>
      </c>
      <c r="AK476">
        <v>3</v>
      </c>
      <c r="AL476">
        <v>4</v>
      </c>
      <c r="AM476">
        <v>4</v>
      </c>
      <c r="AN476">
        <f t="shared" si="28"/>
        <v>720</v>
      </c>
      <c r="AO476" cm="1">
        <f t="array" ref="AO476">PRODUCT(_xlfn.XLOOKUP(AI476:AM476,$B$3:$B$6,$C$3:$C$6))</f>
        <v>0</v>
      </c>
      <c r="AP476">
        <f t="shared" si="29"/>
        <v>0</v>
      </c>
    </row>
    <row r="477" spans="35:42" x14ac:dyDescent="0.2">
      <c r="AI477">
        <v>3</v>
      </c>
      <c r="AJ477">
        <v>5</v>
      </c>
      <c r="AK477">
        <v>3</v>
      </c>
      <c r="AL477">
        <v>4</v>
      </c>
      <c r="AM477">
        <v>5</v>
      </c>
      <c r="AN477">
        <f t="shared" si="28"/>
        <v>900</v>
      </c>
      <c r="AO477" cm="1">
        <f t="array" ref="AO477">PRODUCT(_xlfn.XLOOKUP(AI477:AM477,$B$3:$B$6,$C$3:$C$6))</f>
        <v>0</v>
      </c>
      <c r="AP477">
        <f t="shared" si="29"/>
        <v>0</v>
      </c>
    </row>
    <row r="478" spans="35:42" x14ac:dyDescent="0.2">
      <c r="AI478">
        <v>3</v>
      </c>
      <c r="AJ478">
        <v>5</v>
      </c>
      <c r="AK478">
        <v>3</v>
      </c>
      <c r="AL478">
        <v>5</v>
      </c>
      <c r="AM478">
        <v>2</v>
      </c>
      <c r="AN478">
        <f t="shared" si="28"/>
        <v>450</v>
      </c>
      <c r="AO478" cm="1">
        <f t="array" ref="AO478">PRODUCT(_xlfn.XLOOKUP(AI478:AM478,$B$3:$B$6,$C$3:$C$6))</f>
        <v>9.4089599999999988E-4</v>
      </c>
      <c r="AP478">
        <f t="shared" si="29"/>
        <v>0.42340319999999992</v>
      </c>
    </row>
    <row r="479" spans="35:42" x14ac:dyDescent="0.2">
      <c r="AI479">
        <v>3</v>
      </c>
      <c r="AJ479">
        <v>5</v>
      </c>
      <c r="AK479">
        <v>3</v>
      </c>
      <c r="AL479">
        <v>5</v>
      </c>
      <c r="AM479">
        <v>3</v>
      </c>
      <c r="AN479">
        <f t="shared" si="28"/>
        <v>675</v>
      </c>
      <c r="AO479" cm="1">
        <f t="array" ref="AO479">PRODUCT(_xlfn.XLOOKUP(AI479:AM479,$B$3:$B$6,$C$3:$C$6))</f>
        <v>3.4499519999999997E-4</v>
      </c>
      <c r="AP479">
        <f t="shared" si="29"/>
        <v>0.23287175999999998</v>
      </c>
    </row>
    <row r="480" spans="35:42" x14ac:dyDescent="0.2">
      <c r="AI480">
        <v>3</v>
      </c>
      <c r="AJ480">
        <v>5</v>
      </c>
      <c r="AK480">
        <v>3</v>
      </c>
      <c r="AL480">
        <v>5</v>
      </c>
      <c r="AM480">
        <v>4</v>
      </c>
      <c r="AN480">
        <f t="shared" si="28"/>
        <v>900</v>
      </c>
      <c r="AO480" cm="1">
        <f t="array" ref="AO480">PRODUCT(_xlfn.XLOOKUP(AI480:AM480,$B$3:$B$6,$C$3:$C$6))</f>
        <v>0</v>
      </c>
      <c r="AP480">
        <f t="shared" si="29"/>
        <v>0</v>
      </c>
    </row>
    <row r="481" spans="35:42" x14ac:dyDescent="0.2">
      <c r="AI481">
        <v>3</v>
      </c>
      <c r="AJ481">
        <v>5</v>
      </c>
      <c r="AK481">
        <v>3</v>
      </c>
      <c r="AL481">
        <v>5</v>
      </c>
      <c r="AM481">
        <v>5</v>
      </c>
      <c r="AN481">
        <f t="shared" si="28"/>
        <v>1125</v>
      </c>
      <c r="AO481" cm="1">
        <f t="array" ref="AO481">PRODUCT(_xlfn.XLOOKUP(AI481:AM481,$B$3:$B$6,$C$3:$C$6))</f>
        <v>2.8226879999999996E-4</v>
      </c>
      <c r="AP481">
        <f t="shared" si="29"/>
        <v>0.31755239999999996</v>
      </c>
    </row>
    <row r="482" spans="35:42" x14ac:dyDescent="0.2">
      <c r="AI482">
        <v>3</v>
      </c>
      <c r="AJ482">
        <v>5</v>
      </c>
      <c r="AK482">
        <v>4</v>
      </c>
      <c r="AL482">
        <v>2</v>
      </c>
      <c r="AM482">
        <v>2</v>
      </c>
      <c r="AN482">
        <f t="shared" si="28"/>
        <v>240</v>
      </c>
      <c r="AO482" cm="1">
        <f t="array" ref="AO482">PRODUCT(_xlfn.XLOOKUP(AI482:AM482,$B$3:$B$6,$C$3:$C$6))</f>
        <v>0</v>
      </c>
      <c r="AP482">
        <f t="shared" si="29"/>
        <v>0</v>
      </c>
    </row>
    <row r="483" spans="35:42" x14ac:dyDescent="0.2">
      <c r="AI483">
        <v>3</v>
      </c>
      <c r="AJ483">
        <v>5</v>
      </c>
      <c r="AK483">
        <v>4</v>
      </c>
      <c r="AL483">
        <v>2</v>
      </c>
      <c r="AM483">
        <v>3</v>
      </c>
      <c r="AN483">
        <f t="shared" si="28"/>
        <v>360</v>
      </c>
      <c r="AO483" cm="1">
        <f t="array" ref="AO483">PRODUCT(_xlfn.XLOOKUP(AI483:AM483,$B$3:$B$6,$C$3:$C$6))</f>
        <v>0</v>
      </c>
      <c r="AP483">
        <f t="shared" si="29"/>
        <v>0</v>
      </c>
    </row>
    <row r="484" spans="35:42" x14ac:dyDescent="0.2">
      <c r="AI484">
        <v>3</v>
      </c>
      <c r="AJ484">
        <v>5</v>
      </c>
      <c r="AK484">
        <v>4</v>
      </c>
      <c r="AL484">
        <v>2</v>
      </c>
      <c r="AM484">
        <v>4</v>
      </c>
      <c r="AN484">
        <f t="shared" si="28"/>
        <v>480</v>
      </c>
      <c r="AO484" cm="1">
        <f t="array" ref="AO484">PRODUCT(_xlfn.XLOOKUP(AI484:AM484,$B$3:$B$6,$C$3:$C$6))</f>
        <v>0</v>
      </c>
      <c r="AP484">
        <f t="shared" si="29"/>
        <v>0</v>
      </c>
    </row>
    <row r="485" spans="35:42" x14ac:dyDescent="0.2">
      <c r="AI485">
        <v>3</v>
      </c>
      <c r="AJ485">
        <v>5</v>
      </c>
      <c r="AK485">
        <v>4</v>
      </c>
      <c r="AL485">
        <v>2</v>
      </c>
      <c r="AM485">
        <v>5</v>
      </c>
      <c r="AN485">
        <f t="shared" si="28"/>
        <v>600</v>
      </c>
      <c r="AO485" cm="1">
        <f t="array" ref="AO485">PRODUCT(_xlfn.XLOOKUP(AI485:AM485,$B$3:$B$6,$C$3:$C$6))</f>
        <v>0</v>
      </c>
      <c r="AP485">
        <f t="shared" si="29"/>
        <v>0</v>
      </c>
    </row>
    <row r="486" spans="35:42" x14ac:dyDescent="0.2">
      <c r="AI486">
        <v>3</v>
      </c>
      <c r="AJ486">
        <v>5</v>
      </c>
      <c r="AK486">
        <v>4</v>
      </c>
      <c r="AL486">
        <v>3</v>
      </c>
      <c r="AM486">
        <v>2</v>
      </c>
      <c r="AN486">
        <f t="shared" si="28"/>
        <v>360</v>
      </c>
      <c r="AO486" cm="1">
        <f t="array" ref="AO486">PRODUCT(_xlfn.XLOOKUP(AI486:AM486,$B$3:$B$6,$C$3:$C$6))</f>
        <v>0</v>
      </c>
      <c r="AP486">
        <f t="shared" si="29"/>
        <v>0</v>
      </c>
    </row>
    <row r="487" spans="35:42" x14ac:dyDescent="0.2">
      <c r="AI487">
        <v>3</v>
      </c>
      <c r="AJ487">
        <v>5</v>
      </c>
      <c r="AK487">
        <v>4</v>
      </c>
      <c r="AL487">
        <v>3</v>
      </c>
      <c r="AM487">
        <v>3</v>
      </c>
      <c r="AN487">
        <f t="shared" si="28"/>
        <v>540</v>
      </c>
      <c r="AO487" cm="1">
        <f t="array" ref="AO487">PRODUCT(_xlfn.XLOOKUP(AI487:AM487,$B$3:$B$6,$C$3:$C$6))</f>
        <v>0</v>
      </c>
      <c r="AP487">
        <f t="shared" si="29"/>
        <v>0</v>
      </c>
    </row>
    <row r="488" spans="35:42" x14ac:dyDescent="0.2">
      <c r="AI488">
        <v>3</v>
      </c>
      <c r="AJ488">
        <v>5</v>
      </c>
      <c r="AK488">
        <v>4</v>
      </c>
      <c r="AL488">
        <v>3</v>
      </c>
      <c r="AM488">
        <v>4</v>
      </c>
      <c r="AN488">
        <f t="shared" si="28"/>
        <v>720</v>
      </c>
      <c r="AO488" cm="1">
        <f t="array" ref="AO488">PRODUCT(_xlfn.XLOOKUP(AI488:AM488,$B$3:$B$6,$C$3:$C$6))</f>
        <v>0</v>
      </c>
      <c r="AP488">
        <f t="shared" si="29"/>
        <v>0</v>
      </c>
    </row>
    <row r="489" spans="35:42" x14ac:dyDescent="0.2">
      <c r="AI489">
        <v>3</v>
      </c>
      <c r="AJ489">
        <v>5</v>
      </c>
      <c r="AK489">
        <v>4</v>
      </c>
      <c r="AL489">
        <v>3</v>
      </c>
      <c r="AM489">
        <v>5</v>
      </c>
      <c r="AN489">
        <f t="shared" si="28"/>
        <v>900</v>
      </c>
      <c r="AO489" cm="1">
        <f t="array" ref="AO489">PRODUCT(_xlfn.XLOOKUP(AI489:AM489,$B$3:$B$6,$C$3:$C$6))</f>
        <v>0</v>
      </c>
      <c r="AP489">
        <f t="shared" si="29"/>
        <v>0</v>
      </c>
    </row>
    <row r="490" spans="35:42" x14ac:dyDescent="0.2">
      <c r="AI490">
        <v>3</v>
      </c>
      <c r="AJ490">
        <v>5</v>
      </c>
      <c r="AK490">
        <v>4</v>
      </c>
      <c r="AL490">
        <v>4</v>
      </c>
      <c r="AM490">
        <v>2</v>
      </c>
      <c r="AN490">
        <f t="shared" si="28"/>
        <v>480</v>
      </c>
      <c r="AO490" cm="1">
        <f t="array" ref="AO490">PRODUCT(_xlfn.XLOOKUP(AI490:AM490,$B$3:$B$6,$C$3:$C$6))</f>
        <v>0</v>
      </c>
      <c r="AP490">
        <f t="shared" si="29"/>
        <v>0</v>
      </c>
    </row>
    <row r="491" spans="35:42" x14ac:dyDescent="0.2">
      <c r="AI491">
        <v>3</v>
      </c>
      <c r="AJ491">
        <v>5</v>
      </c>
      <c r="AK491">
        <v>4</v>
      </c>
      <c r="AL491">
        <v>4</v>
      </c>
      <c r="AM491">
        <v>3</v>
      </c>
      <c r="AN491">
        <f t="shared" si="28"/>
        <v>720</v>
      </c>
      <c r="AO491" cm="1">
        <f t="array" ref="AO491">PRODUCT(_xlfn.XLOOKUP(AI491:AM491,$B$3:$B$6,$C$3:$C$6))</f>
        <v>0</v>
      </c>
      <c r="AP491">
        <f t="shared" si="29"/>
        <v>0</v>
      </c>
    </row>
    <row r="492" spans="35:42" x14ac:dyDescent="0.2">
      <c r="AI492">
        <v>3</v>
      </c>
      <c r="AJ492">
        <v>5</v>
      </c>
      <c r="AK492">
        <v>4</v>
      </c>
      <c r="AL492">
        <v>4</v>
      </c>
      <c r="AM492">
        <v>4</v>
      </c>
      <c r="AN492">
        <f t="shared" si="28"/>
        <v>960</v>
      </c>
      <c r="AO492" cm="1">
        <f t="array" ref="AO492">PRODUCT(_xlfn.XLOOKUP(AI492:AM492,$B$3:$B$6,$C$3:$C$6))</f>
        <v>0</v>
      </c>
      <c r="AP492">
        <f t="shared" si="29"/>
        <v>0</v>
      </c>
    </row>
    <row r="493" spans="35:42" x14ac:dyDescent="0.2">
      <c r="AI493">
        <v>3</v>
      </c>
      <c r="AJ493">
        <v>5</v>
      </c>
      <c r="AK493">
        <v>4</v>
      </c>
      <c r="AL493">
        <v>4</v>
      </c>
      <c r="AM493">
        <v>5</v>
      </c>
      <c r="AN493">
        <f t="shared" si="28"/>
        <v>1200</v>
      </c>
      <c r="AO493" cm="1">
        <f t="array" ref="AO493">PRODUCT(_xlfn.XLOOKUP(AI493:AM493,$B$3:$B$6,$C$3:$C$6))</f>
        <v>0</v>
      </c>
      <c r="AP493">
        <f t="shared" si="29"/>
        <v>0</v>
      </c>
    </row>
    <row r="494" spans="35:42" x14ac:dyDescent="0.2">
      <c r="AI494">
        <v>3</v>
      </c>
      <c r="AJ494">
        <v>5</v>
      </c>
      <c r="AK494">
        <v>4</v>
      </c>
      <c r="AL494">
        <v>5</v>
      </c>
      <c r="AM494">
        <v>2</v>
      </c>
      <c r="AN494">
        <f t="shared" si="28"/>
        <v>600</v>
      </c>
      <c r="AO494" cm="1">
        <f t="array" ref="AO494">PRODUCT(_xlfn.XLOOKUP(AI494:AM494,$B$3:$B$6,$C$3:$C$6))</f>
        <v>0</v>
      </c>
      <c r="AP494">
        <f t="shared" si="29"/>
        <v>0</v>
      </c>
    </row>
    <row r="495" spans="35:42" x14ac:dyDescent="0.2">
      <c r="AI495">
        <v>3</v>
      </c>
      <c r="AJ495">
        <v>5</v>
      </c>
      <c r="AK495">
        <v>4</v>
      </c>
      <c r="AL495">
        <v>5</v>
      </c>
      <c r="AM495">
        <v>3</v>
      </c>
      <c r="AN495">
        <f t="shared" si="28"/>
        <v>900</v>
      </c>
      <c r="AO495" cm="1">
        <f t="array" ref="AO495">PRODUCT(_xlfn.XLOOKUP(AI495:AM495,$B$3:$B$6,$C$3:$C$6))</f>
        <v>0</v>
      </c>
      <c r="AP495">
        <f t="shared" si="29"/>
        <v>0</v>
      </c>
    </row>
    <row r="496" spans="35:42" x14ac:dyDescent="0.2">
      <c r="AI496">
        <v>3</v>
      </c>
      <c r="AJ496">
        <v>5</v>
      </c>
      <c r="AK496">
        <v>4</v>
      </c>
      <c r="AL496">
        <v>5</v>
      </c>
      <c r="AM496">
        <v>4</v>
      </c>
      <c r="AN496">
        <f t="shared" si="28"/>
        <v>1200</v>
      </c>
      <c r="AO496" cm="1">
        <f t="array" ref="AO496">PRODUCT(_xlfn.XLOOKUP(AI496:AM496,$B$3:$B$6,$C$3:$C$6))</f>
        <v>0</v>
      </c>
      <c r="AP496">
        <f t="shared" si="29"/>
        <v>0</v>
      </c>
    </row>
    <row r="497" spans="35:42" x14ac:dyDescent="0.2">
      <c r="AI497">
        <v>3</v>
      </c>
      <c r="AJ497">
        <v>5</v>
      </c>
      <c r="AK497">
        <v>4</v>
      </c>
      <c r="AL497">
        <v>5</v>
      </c>
      <c r="AM497">
        <v>5</v>
      </c>
      <c r="AN497">
        <f t="shared" si="28"/>
        <v>1500</v>
      </c>
      <c r="AO497" cm="1">
        <f t="array" ref="AO497">PRODUCT(_xlfn.XLOOKUP(AI497:AM497,$B$3:$B$6,$C$3:$C$6))</f>
        <v>0</v>
      </c>
      <c r="AP497">
        <f t="shared" si="29"/>
        <v>0</v>
      </c>
    </row>
    <row r="498" spans="35:42" x14ac:dyDescent="0.2">
      <c r="AI498">
        <v>3</v>
      </c>
      <c r="AJ498">
        <v>5</v>
      </c>
      <c r="AK498">
        <v>5</v>
      </c>
      <c r="AL498">
        <v>2</v>
      </c>
      <c r="AM498">
        <v>2</v>
      </c>
      <c r="AN498">
        <f t="shared" si="28"/>
        <v>300</v>
      </c>
      <c r="AO498" cm="1">
        <f t="array" ref="AO498">PRODUCT(_xlfn.XLOOKUP(AI498:AM498,$B$3:$B$6,$C$3:$C$6))</f>
        <v>2.5660799999999992E-3</v>
      </c>
      <c r="AP498">
        <f t="shared" si="29"/>
        <v>0.76982399999999973</v>
      </c>
    </row>
    <row r="499" spans="35:42" x14ac:dyDescent="0.2">
      <c r="AI499">
        <v>3</v>
      </c>
      <c r="AJ499">
        <v>5</v>
      </c>
      <c r="AK499">
        <v>5</v>
      </c>
      <c r="AL499">
        <v>2</v>
      </c>
      <c r="AM499">
        <v>3</v>
      </c>
      <c r="AN499">
        <f t="shared" si="28"/>
        <v>450</v>
      </c>
      <c r="AO499" cm="1">
        <f t="array" ref="AO499">PRODUCT(_xlfn.XLOOKUP(AI499:AM499,$B$3:$B$6,$C$3:$C$6))</f>
        <v>9.4089599999999977E-4</v>
      </c>
      <c r="AP499">
        <f t="shared" si="29"/>
        <v>0.42340319999999987</v>
      </c>
    </row>
    <row r="500" spans="35:42" x14ac:dyDescent="0.2">
      <c r="AI500">
        <v>3</v>
      </c>
      <c r="AJ500">
        <v>5</v>
      </c>
      <c r="AK500">
        <v>5</v>
      </c>
      <c r="AL500">
        <v>2</v>
      </c>
      <c r="AM500">
        <v>4</v>
      </c>
      <c r="AN500">
        <f t="shared" si="28"/>
        <v>600</v>
      </c>
      <c r="AO500" cm="1">
        <f t="array" ref="AO500">PRODUCT(_xlfn.XLOOKUP(AI500:AM500,$B$3:$B$6,$C$3:$C$6))</f>
        <v>0</v>
      </c>
      <c r="AP500">
        <f t="shared" si="29"/>
        <v>0</v>
      </c>
    </row>
    <row r="501" spans="35:42" x14ac:dyDescent="0.2">
      <c r="AI501">
        <v>3</v>
      </c>
      <c r="AJ501">
        <v>5</v>
      </c>
      <c r="AK501">
        <v>5</v>
      </c>
      <c r="AL501">
        <v>2</v>
      </c>
      <c r="AM501">
        <v>5</v>
      </c>
      <c r="AN501">
        <f t="shared" si="28"/>
        <v>750</v>
      </c>
      <c r="AO501" cm="1">
        <f t="array" ref="AO501">PRODUCT(_xlfn.XLOOKUP(AI501:AM501,$B$3:$B$6,$C$3:$C$6))</f>
        <v>7.6982399999999979E-4</v>
      </c>
      <c r="AP501">
        <f t="shared" si="29"/>
        <v>0.57736799999999988</v>
      </c>
    </row>
    <row r="502" spans="35:42" x14ac:dyDescent="0.2">
      <c r="AI502">
        <v>3</v>
      </c>
      <c r="AJ502">
        <v>5</v>
      </c>
      <c r="AK502">
        <v>5</v>
      </c>
      <c r="AL502">
        <v>3</v>
      </c>
      <c r="AM502">
        <v>2</v>
      </c>
      <c r="AN502">
        <f t="shared" si="28"/>
        <v>450</v>
      </c>
      <c r="AO502" cm="1">
        <f t="array" ref="AO502">PRODUCT(_xlfn.XLOOKUP(AI502:AM502,$B$3:$B$6,$C$3:$C$6))</f>
        <v>9.4089599999999988E-4</v>
      </c>
      <c r="AP502">
        <f t="shared" si="29"/>
        <v>0.42340319999999992</v>
      </c>
    </row>
    <row r="503" spans="35:42" x14ac:dyDescent="0.2">
      <c r="AI503">
        <v>3</v>
      </c>
      <c r="AJ503">
        <v>5</v>
      </c>
      <c r="AK503">
        <v>5</v>
      </c>
      <c r="AL503">
        <v>3</v>
      </c>
      <c r="AM503">
        <v>3</v>
      </c>
      <c r="AN503">
        <f t="shared" si="28"/>
        <v>675</v>
      </c>
      <c r="AO503" cm="1">
        <f t="array" ref="AO503">PRODUCT(_xlfn.XLOOKUP(AI503:AM503,$B$3:$B$6,$C$3:$C$6))</f>
        <v>3.4499519999999997E-4</v>
      </c>
      <c r="AP503">
        <f t="shared" si="29"/>
        <v>0.23287175999999998</v>
      </c>
    </row>
    <row r="504" spans="35:42" x14ac:dyDescent="0.2">
      <c r="AI504">
        <v>3</v>
      </c>
      <c r="AJ504">
        <v>5</v>
      </c>
      <c r="AK504">
        <v>5</v>
      </c>
      <c r="AL504">
        <v>3</v>
      </c>
      <c r="AM504">
        <v>4</v>
      </c>
      <c r="AN504">
        <f t="shared" si="28"/>
        <v>900</v>
      </c>
      <c r="AO504" cm="1">
        <f t="array" ref="AO504">PRODUCT(_xlfn.XLOOKUP(AI504:AM504,$B$3:$B$6,$C$3:$C$6))</f>
        <v>0</v>
      </c>
      <c r="AP504">
        <f t="shared" si="29"/>
        <v>0</v>
      </c>
    </row>
    <row r="505" spans="35:42" x14ac:dyDescent="0.2">
      <c r="AI505">
        <v>3</v>
      </c>
      <c r="AJ505">
        <v>5</v>
      </c>
      <c r="AK505">
        <v>5</v>
      </c>
      <c r="AL505">
        <v>3</v>
      </c>
      <c r="AM505">
        <v>5</v>
      </c>
      <c r="AN505">
        <f t="shared" si="28"/>
        <v>1125</v>
      </c>
      <c r="AO505" cm="1">
        <f t="array" ref="AO505">PRODUCT(_xlfn.XLOOKUP(AI505:AM505,$B$3:$B$6,$C$3:$C$6))</f>
        <v>2.8226879999999996E-4</v>
      </c>
      <c r="AP505">
        <f t="shared" si="29"/>
        <v>0.31755239999999996</v>
      </c>
    </row>
    <row r="506" spans="35:42" x14ac:dyDescent="0.2">
      <c r="AI506">
        <v>3</v>
      </c>
      <c r="AJ506">
        <v>5</v>
      </c>
      <c r="AK506">
        <v>5</v>
      </c>
      <c r="AL506">
        <v>4</v>
      </c>
      <c r="AM506">
        <v>2</v>
      </c>
      <c r="AN506">
        <f t="shared" si="28"/>
        <v>600</v>
      </c>
      <c r="AO506" cm="1">
        <f t="array" ref="AO506">PRODUCT(_xlfn.XLOOKUP(AI506:AM506,$B$3:$B$6,$C$3:$C$6))</f>
        <v>0</v>
      </c>
      <c r="AP506">
        <f t="shared" si="29"/>
        <v>0</v>
      </c>
    </row>
    <row r="507" spans="35:42" x14ac:dyDescent="0.2">
      <c r="AI507">
        <v>3</v>
      </c>
      <c r="AJ507">
        <v>5</v>
      </c>
      <c r="AK507">
        <v>5</v>
      </c>
      <c r="AL507">
        <v>4</v>
      </c>
      <c r="AM507">
        <v>3</v>
      </c>
      <c r="AN507">
        <f t="shared" si="28"/>
        <v>900</v>
      </c>
      <c r="AO507" cm="1">
        <f t="array" ref="AO507">PRODUCT(_xlfn.XLOOKUP(AI507:AM507,$B$3:$B$6,$C$3:$C$6))</f>
        <v>0</v>
      </c>
      <c r="AP507">
        <f t="shared" si="29"/>
        <v>0</v>
      </c>
    </row>
    <row r="508" spans="35:42" x14ac:dyDescent="0.2">
      <c r="AI508">
        <v>3</v>
      </c>
      <c r="AJ508">
        <v>5</v>
      </c>
      <c r="AK508">
        <v>5</v>
      </c>
      <c r="AL508">
        <v>4</v>
      </c>
      <c r="AM508">
        <v>4</v>
      </c>
      <c r="AN508">
        <f t="shared" si="28"/>
        <v>1200</v>
      </c>
      <c r="AO508" cm="1">
        <f t="array" ref="AO508">PRODUCT(_xlfn.XLOOKUP(AI508:AM508,$B$3:$B$6,$C$3:$C$6))</f>
        <v>0</v>
      </c>
      <c r="AP508">
        <f t="shared" si="29"/>
        <v>0</v>
      </c>
    </row>
    <row r="509" spans="35:42" x14ac:dyDescent="0.2">
      <c r="AI509">
        <v>3</v>
      </c>
      <c r="AJ509">
        <v>5</v>
      </c>
      <c r="AK509">
        <v>5</v>
      </c>
      <c r="AL509">
        <v>4</v>
      </c>
      <c r="AM509">
        <v>5</v>
      </c>
      <c r="AN509">
        <f t="shared" si="28"/>
        <v>1500</v>
      </c>
      <c r="AO509" cm="1">
        <f t="array" ref="AO509">PRODUCT(_xlfn.XLOOKUP(AI509:AM509,$B$3:$B$6,$C$3:$C$6))</f>
        <v>0</v>
      </c>
      <c r="AP509">
        <f t="shared" si="29"/>
        <v>0</v>
      </c>
    </row>
    <row r="510" spans="35:42" x14ac:dyDescent="0.2">
      <c r="AI510">
        <v>3</v>
      </c>
      <c r="AJ510">
        <v>5</v>
      </c>
      <c r="AK510">
        <v>5</v>
      </c>
      <c r="AL510">
        <v>5</v>
      </c>
      <c r="AM510">
        <v>2</v>
      </c>
      <c r="AN510">
        <f t="shared" si="28"/>
        <v>750</v>
      </c>
      <c r="AO510" cm="1">
        <f t="array" ref="AO510">PRODUCT(_xlfn.XLOOKUP(AI510:AM510,$B$3:$B$6,$C$3:$C$6))</f>
        <v>7.698239999999999E-4</v>
      </c>
      <c r="AP510">
        <f t="shared" si="29"/>
        <v>0.57736799999999988</v>
      </c>
    </row>
    <row r="511" spans="35:42" x14ac:dyDescent="0.2">
      <c r="AI511">
        <v>3</v>
      </c>
      <c r="AJ511">
        <v>5</v>
      </c>
      <c r="AK511">
        <v>5</v>
      </c>
      <c r="AL511">
        <v>5</v>
      </c>
      <c r="AM511">
        <v>3</v>
      </c>
      <c r="AN511">
        <f t="shared" si="28"/>
        <v>1125</v>
      </c>
      <c r="AO511" cm="1">
        <f t="array" ref="AO511">PRODUCT(_xlfn.XLOOKUP(AI511:AM511,$B$3:$B$6,$C$3:$C$6))</f>
        <v>2.8226879999999996E-4</v>
      </c>
      <c r="AP511">
        <f t="shared" si="29"/>
        <v>0.31755239999999996</v>
      </c>
    </row>
    <row r="512" spans="35:42" x14ac:dyDescent="0.2">
      <c r="AI512">
        <v>3</v>
      </c>
      <c r="AJ512">
        <v>5</v>
      </c>
      <c r="AK512">
        <v>5</v>
      </c>
      <c r="AL512">
        <v>5</v>
      </c>
      <c r="AM512">
        <v>4</v>
      </c>
      <c r="AN512">
        <f t="shared" si="28"/>
        <v>1500</v>
      </c>
      <c r="AO512" cm="1">
        <f t="array" ref="AO512">PRODUCT(_xlfn.XLOOKUP(AI512:AM512,$B$3:$B$6,$C$3:$C$6))</f>
        <v>0</v>
      </c>
      <c r="AP512">
        <f t="shared" si="29"/>
        <v>0</v>
      </c>
    </row>
    <row r="513" spans="35:42" x14ac:dyDescent="0.2">
      <c r="AI513">
        <v>3</v>
      </c>
      <c r="AJ513">
        <v>5</v>
      </c>
      <c r="AK513">
        <v>5</v>
      </c>
      <c r="AL513">
        <v>5</v>
      </c>
      <c r="AM513">
        <v>5</v>
      </c>
      <c r="AN513">
        <f t="shared" si="28"/>
        <v>1875</v>
      </c>
      <c r="AO513" cm="1">
        <f t="array" ref="AO513">PRODUCT(_xlfn.XLOOKUP(AI513:AM513,$B$3:$B$6,$C$3:$C$6))</f>
        <v>2.3094719999999997E-4</v>
      </c>
      <c r="AP513">
        <f t="shared" si="29"/>
        <v>0.43302599999999997</v>
      </c>
    </row>
    <row r="514" spans="35:42" x14ac:dyDescent="0.2">
      <c r="AI514">
        <v>4</v>
      </c>
      <c r="AJ514">
        <v>2</v>
      </c>
      <c r="AK514">
        <v>2</v>
      </c>
      <c r="AL514">
        <v>2</v>
      </c>
      <c r="AM514">
        <v>2</v>
      </c>
      <c r="AN514">
        <f t="shared" si="28"/>
        <v>64</v>
      </c>
      <c r="AO514" cm="1">
        <f t="array" ref="AO514">PRODUCT(_xlfn.XLOOKUP(AI514:AM514,$B$3:$B$6,$C$3:$C$6))</f>
        <v>0</v>
      </c>
      <c r="AP514">
        <f t="shared" si="29"/>
        <v>0</v>
      </c>
    </row>
    <row r="515" spans="35:42" x14ac:dyDescent="0.2">
      <c r="AI515">
        <v>4</v>
      </c>
      <c r="AJ515">
        <v>2</v>
      </c>
      <c r="AK515">
        <v>2</v>
      </c>
      <c r="AL515">
        <v>2</v>
      </c>
      <c r="AM515">
        <v>3</v>
      </c>
      <c r="AN515">
        <f t="shared" ref="AN515:AN578" si="30">PRODUCT(AI515:AM515)</f>
        <v>96</v>
      </c>
      <c r="AO515" cm="1">
        <f t="array" ref="AO515">PRODUCT(_xlfn.XLOOKUP(AI515:AM515,$B$3:$B$6,$C$3:$C$6))</f>
        <v>0</v>
      </c>
      <c r="AP515">
        <f t="shared" ref="AP515:AP578" si="31">AN515*AO515</f>
        <v>0</v>
      </c>
    </row>
    <row r="516" spans="35:42" x14ac:dyDescent="0.2">
      <c r="AI516">
        <v>4</v>
      </c>
      <c r="AJ516">
        <v>2</v>
      </c>
      <c r="AK516">
        <v>2</v>
      </c>
      <c r="AL516">
        <v>2</v>
      </c>
      <c r="AM516">
        <v>4</v>
      </c>
      <c r="AN516">
        <f t="shared" si="30"/>
        <v>128</v>
      </c>
      <c r="AO516" cm="1">
        <f t="array" ref="AO516">PRODUCT(_xlfn.XLOOKUP(AI516:AM516,$B$3:$B$6,$C$3:$C$6))</f>
        <v>0</v>
      </c>
      <c r="AP516">
        <f t="shared" si="31"/>
        <v>0</v>
      </c>
    </row>
    <row r="517" spans="35:42" x14ac:dyDescent="0.2">
      <c r="AI517">
        <v>4</v>
      </c>
      <c r="AJ517">
        <v>2</v>
      </c>
      <c r="AK517">
        <v>2</v>
      </c>
      <c r="AL517">
        <v>2</v>
      </c>
      <c r="AM517">
        <v>5</v>
      </c>
      <c r="AN517">
        <f t="shared" si="30"/>
        <v>160</v>
      </c>
      <c r="AO517" cm="1">
        <f t="array" ref="AO517">PRODUCT(_xlfn.XLOOKUP(AI517:AM517,$B$3:$B$6,$C$3:$C$6))</f>
        <v>0</v>
      </c>
      <c r="AP517">
        <f t="shared" si="31"/>
        <v>0</v>
      </c>
    </row>
    <row r="518" spans="35:42" x14ac:dyDescent="0.2">
      <c r="AI518">
        <v>4</v>
      </c>
      <c r="AJ518">
        <v>2</v>
      </c>
      <c r="AK518">
        <v>2</v>
      </c>
      <c r="AL518">
        <v>3</v>
      </c>
      <c r="AM518">
        <v>2</v>
      </c>
      <c r="AN518">
        <f t="shared" si="30"/>
        <v>96</v>
      </c>
      <c r="AO518" cm="1">
        <f t="array" ref="AO518">PRODUCT(_xlfn.XLOOKUP(AI518:AM518,$B$3:$B$6,$C$3:$C$6))</f>
        <v>0</v>
      </c>
      <c r="AP518">
        <f t="shared" si="31"/>
        <v>0</v>
      </c>
    </row>
    <row r="519" spans="35:42" x14ac:dyDescent="0.2">
      <c r="AI519">
        <v>4</v>
      </c>
      <c r="AJ519">
        <v>2</v>
      </c>
      <c r="AK519">
        <v>2</v>
      </c>
      <c r="AL519">
        <v>3</v>
      </c>
      <c r="AM519">
        <v>3</v>
      </c>
      <c r="AN519">
        <f t="shared" si="30"/>
        <v>144</v>
      </c>
      <c r="AO519" cm="1">
        <f t="array" ref="AO519">PRODUCT(_xlfn.XLOOKUP(AI519:AM519,$B$3:$B$6,$C$3:$C$6))</f>
        <v>0</v>
      </c>
      <c r="AP519">
        <f t="shared" si="31"/>
        <v>0</v>
      </c>
    </row>
    <row r="520" spans="35:42" x14ac:dyDescent="0.2">
      <c r="AI520">
        <v>4</v>
      </c>
      <c r="AJ520">
        <v>2</v>
      </c>
      <c r="AK520">
        <v>2</v>
      </c>
      <c r="AL520">
        <v>3</v>
      </c>
      <c r="AM520">
        <v>4</v>
      </c>
      <c r="AN520">
        <f t="shared" si="30"/>
        <v>192</v>
      </c>
      <c r="AO520" cm="1">
        <f t="array" ref="AO520">PRODUCT(_xlfn.XLOOKUP(AI520:AM520,$B$3:$B$6,$C$3:$C$6))</f>
        <v>0</v>
      </c>
      <c r="AP520">
        <f t="shared" si="31"/>
        <v>0</v>
      </c>
    </row>
    <row r="521" spans="35:42" x14ac:dyDescent="0.2">
      <c r="AI521">
        <v>4</v>
      </c>
      <c r="AJ521">
        <v>2</v>
      </c>
      <c r="AK521">
        <v>2</v>
      </c>
      <c r="AL521">
        <v>3</v>
      </c>
      <c r="AM521">
        <v>5</v>
      </c>
      <c r="AN521">
        <f t="shared" si="30"/>
        <v>240</v>
      </c>
      <c r="AO521" cm="1">
        <f t="array" ref="AO521">PRODUCT(_xlfn.XLOOKUP(AI521:AM521,$B$3:$B$6,$C$3:$C$6))</f>
        <v>0</v>
      </c>
      <c r="AP521">
        <f t="shared" si="31"/>
        <v>0</v>
      </c>
    </row>
    <row r="522" spans="35:42" x14ac:dyDescent="0.2">
      <c r="AI522">
        <v>4</v>
      </c>
      <c r="AJ522">
        <v>2</v>
      </c>
      <c r="AK522">
        <v>2</v>
      </c>
      <c r="AL522">
        <v>4</v>
      </c>
      <c r="AM522">
        <v>2</v>
      </c>
      <c r="AN522">
        <f t="shared" si="30"/>
        <v>128</v>
      </c>
      <c r="AO522" cm="1">
        <f t="array" ref="AO522">PRODUCT(_xlfn.XLOOKUP(AI522:AM522,$B$3:$B$6,$C$3:$C$6))</f>
        <v>0</v>
      </c>
      <c r="AP522">
        <f t="shared" si="31"/>
        <v>0</v>
      </c>
    </row>
    <row r="523" spans="35:42" x14ac:dyDescent="0.2">
      <c r="AI523">
        <v>4</v>
      </c>
      <c r="AJ523">
        <v>2</v>
      </c>
      <c r="AK523">
        <v>2</v>
      </c>
      <c r="AL523">
        <v>4</v>
      </c>
      <c r="AM523">
        <v>3</v>
      </c>
      <c r="AN523">
        <f t="shared" si="30"/>
        <v>192</v>
      </c>
      <c r="AO523" cm="1">
        <f t="array" ref="AO523">PRODUCT(_xlfn.XLOOKUP(AI523:AM523,$B$3:$B$6,$C$3:$C$6))</f>
        <v>0</v>
      </c>
      <c r="AP523">
        <f t="shared" si="31"/>
        <v>0</v>
      </c>
    </row>
    <row r="524" spans="35:42" x14ac:dyDescent="0.2">
      <c r="AI524">
        <v>4</v>
      </c>
      <c r="AJ524">
        <v>2</v>
      </c>
      <c r="AK524">
        <v>2</v>
      </c>
      <c r="AL524">
        <v>4</v>
      </c>
      <c r="AM524">
        <v>4</v>
      </c>
      <c r="AN524">
        <f t="shared" si="30"/>
        <v>256</v>
      </c>
      <c r="AO524" cm="1">
        <f t="array" ref="AO524">PRODUCT(_xlfn.XLOOKUP(AI524:AM524,$B$3:$B$6,$C$3:$C$6))</f>
        <v>0</v>
      </c>
      <c r="AP524">
        <f t="shared" si="31"/>
        <v>0</v>
      </c>
    </row>
    <row r="525" spans="35:42" x14ac:dyDescent="0.2">
      <c r="AI525">
        <v>4</v>
      </c>
      <c r="AJ525">
        <v>2</v>
      </c>
      <c r="AK525">
        <v>2</v>
      </c>
      <c r="AL525">
        <v>4</v>
      </c>
      <c r="AM525">
        <v>5</v>
      </c>
      <c r="AN525">
        <f t="shared" si="30"/>
        <v>320</v>
      </c>
      <c r="AO525" cm="1">
        <f t="array" ref="AO525">PRODUCT(_xlfn.XLOOKUP(AI525:AM525,$B$3:$B$6,$C$3:$C$6))</f>
        <v>0</v>
      </c>
      <c r="AP525">
        <f t="shared" si="31"/>
        <v>0</v>
      </c>
    </row>
    <row r="526" spans="35:42" x14ac:dyDescent="0.2">
      <c r="AI526">
        <v>4</v>
      </c>
      <c r="AJ526">
        <v>2</v>
      </c>
      <c r="AK526">
        <v>2</v>
      </c>
      <c r="AL526">
        <v>5</v>
      </c>
      <c r="AM526">
        <v>2</v>
      </c>
      <c r="AN526">
        <f t="shared" si="30"/>
        <v>160</v>
      </c>
      <c r="AO526" cm="1">
        <f t="array" ref="AO526">PRODUCT(_xlfn.XLOOKUP(AI526:AM526,$B$3:$B$6,$C$3:$C$6))</f>
        <v>0</v>
      </c>
      <c r="AP526">
        <f t="shared" si="31"/>
        <v>0</v>
      </c>
    </row>
    <row r="527" spans="35:42" x14ac:dyDescent="0.2">
      <c r="AI527">
        <v>4</v>
      </c>
      <c r="AJ527">
        <v>2</v>
      </c>
      <c r="AK527">
        <v>2</v>
      </c>
      <c r="AL527">
        <v>5</v>
      </c>
      <c r="AM527">
        <v>3</v>
      </c>
      <c r="AN527">
        <f t="shared" si="30"/>
        <v>240</v>
      </c>
      <c r="AO527" cm="1">
        <f t="array" ref="AO527">PRODUCT(_xlfn.XLOOKUP(AI527:AM527,$B$3:$B$6,$C$3:$C$6))</f>
        <v>0</v>
      </c>
      <c r="AP527">
        <f t="shared" si="31"/>
        <v>0</v>
      </c>
    </row>
    <row r="528" spans="35:42" x14ac:dyDescent="0.2">
      <c r="AI528">
        <v>4</v>
      </c>
      <c r="AJ528">
        <v>2</v>
      </c>
      <c r="AK528">
        <v>2</v>
      </c>
      <c r="AL528">
        <v>5</v>
      </c>
      <c r="AM528">
        <v>4</v>
      </c>
      <c r="AN528">
        <f t="shared" si="30"/>
        <v>320</v>
      </c>
      <c r="AO528" cm="1">
        <f t="array" ref="AO528">PRODUCT(_xlfn.XLOOKUP(AI528:AM528,$B$3:$B$6,$C$3:$C$6))</f>
        <v>0</v>
      </c>
      <c r="AP528">
        <f t="shared" si="31"/>
        <v>0</v>
      </c>
    </row>
    <row r="529" spans="35:42" x14ac:dyDescent="0.2">
      <c r="AI529">
        <v>4</v>
      </c>
      <c r="AJ529">
        <v>2</v>
      </c>
      <c r="AK529">
        <v>2</v>
      </c>
      <c r="AL529">
        <v>5</v>
      </c>
      <c r="AM529">
        <v>5</v>
      </c>
      <c r="AN529">
        <f t="shared" si="30"/>
        <v>400</v>
      </c>
      <c r="AO529" cm="1">
        <f t="array" ref="AO529">PRODUCT(_xlfn.XLOOKUP(AI529:AM529,$B$3:$B$6,$C$3:$C$6))</f>
        <v>0</v>
      </c>
      <c r="AP529">
        <f t="shared" si="31"/>
        <v>0</v>
      </c>
    </row>
    <row r="530" spans="35:42" x14ac:dyDescent="0.2">
      <c r="AI530">
        <v>4</v>
      </c>
      <c r="AJ530">
        <v>2</v>
      </c>
      <c r="AK530">
        <v>3</v>
      </c>
      <c r="AL530">
        <v>2</v>
      </c>
      <c r="AM530">
        <v>2</v>
      </c>
      <c r="AN530">
        <f t="shared" si="30"/>
        <v>96</v>
      </c>
      <c r="AO530" cm="1">
        <f t="array" ref="AO530">PRODUCT(_xlfn.XLOOKUP(AI530:AM530,$B$3:$B$6,$C$3:$C$6))</f>
        <v>0</v>
      </c>
      <c r="AP530">
        <f t="shared" si="31"/>
        <v>0</v>
      </c>
    </row>
    <row r="531" spans="35:42" x14ac:dyDescent="0.2">
      <c r="AI531">
        <v>4</v>
      </c>
      <c r="AJ531">
        <v>2</v>
      </c>
      <c r="AK531">
        <v>3</v>
      </c>
      <c r="AL531">
        <v>2</v>
      </c>
      <c r="AM531">
        <v>3</v>
      </c>
      <c r="AN531">
        <f t="shared" si="30"/>
        <v>144</v>
      </c>
      <c r="AO531" cm="1">
        <f t="array" ref="AO531">PRODUCT(_xlfn.XLOOKUP(AI531:AM531,$B$3:$B$6,$C$3:$C$6))</f>
        <v>0</v>
      </c>
      <c r="AP531">
        <f t="shared" si="31"/>
        <v>0</v>
      </c>
    </row>
    <row r="532" spans="35:42" x14ac:dyDescent="0.2">
      <c r="AI532">
        <v>4</v>
      </c>
      <c r="AJ532">
        <v>2</v>
      </c>
      <c r="AK532">
        <v>3</v>
      </c>
      <c r="AL532">
        <v>2</v>
      </c>
      <c r="AM532">
        <v>4</v>
      </c>
      <c r="AN532">
        <f t="shared" si="30"/>
        <v>192</v>
      </c>
      <c r="AO532" cm="1">
        <f t="array" ref="AO532">PRODUCT(_xlfn.XLOOKUP(AI532:AM532,$B$3:$B$6,$C$3:$C$6))</f>
        <v>0</v>
      </c>
      <c r="AP532">
        <f t="shared" si="31"/>
        <v>0</v>
      </c>
    </row>
    <row r="533" spans="35:42" x14ac:dyDescent="0.2">
      <c r="AI533">
        <v>4</v>
      </c>
      <c r="AJ533">
        <v>2</v>
      </c>
      <c r="AK533">
        <v>3</v>
      </c>
      <c r="AL533">
        <v>2</v>
      </c>
      <c r="AM533">
        <v>5</v>
      </c>
      <c r="AN533">
        <f t="shared" si="30"/>
        <v>240</v>
      </c>
      <c r="AO533" cm="1">
        <f t="array" ref="AO533">PRODUCT(_xlfn.XLOOKUP(AI533:AM533,$B$3:$B$6,$C$3:$C$6))</f>
        <v>0</v>
      </c>
      <c r="AP533">
        <f t="shared" si="31"/>
        <v>0</v>
      </c>
    </row>
    <row r="534" spans="35:42" x14ac:dyDescent="0.2">
      <c r="AI534">
        <v>4</v>
      </c>
      <c r="AJ534">
        <v>2</v>
      </c>
      <c r="AK534">
        <v>3</v>
      </c>
      <c r="AL534">
        <v>3</v>
      </c>
      <c r="AM534">
        <v>2</v>
      </c>
      <c r="AN534">
        <f t="shared" si="30"/>
        <v>144</v>
      </c>
      <c r="AO534" cm="1">
        <f t="array" ref="AO534">PRODUCT(_xlfn.XLOOKUP(AI534:AM534,$B$3:$B$6,$C$3:$C$6))</f>
        <v>0</v>
      </c>
      <c r="AP534">
        <f t="shared" si="31"/>
        <v>0</v>
      </c>
    </row>
    <row r="535" spans="35:42" x14ac:dyDescent="0.2">
      <c r="AI535">
        <v>4</v>
      </c>
      <c r="AJ535">
        <v>2</v>
      </c>
      <c r="AK535">
        <v>3</v>
      </c>
      <c r="AL535">
        <v>3</v>
      </c>
      <c r="AM535">
        <v>3</v>
      </c>
      <c r="AN535">
        <f t="shared" si="30"/>
        <v>216</v>
      </c>
      <c r="AO535" cm="1">
        <f t="array" ref="AO535">PRODUCT(_xlfn.XLOOKUP(AI535:AM535,$B$3:$B$6,$C$3:$C$6))</f>
        <v>0</v>
      </c>
      <c r="AP535">
        <f t="shared" si="31"/>
        <v>0</v>
      </c>
    </row>
    <row r="536" spans="35:42" x14ac:dyDescent="0.2">
      <c r="AI536">
        <v>4</v>
      </c>
      <c r="AJ536">
        <v>2</v>
      </c>
      <c r="AK536">
        <v>3</v>
      </c>
      <c r="AL536">
        <v>3</v>
      </c>
      <c r="AM536">
        <v>4</v>
      </c>
      <c r="AN536">
        <f t="shared" si="30"/>
        <v>288</v>
      </c>
      <c r="AO536" cm="1">
        <f t="array" ref="AO536">PRODUCT(_xlfn.XLOOKUP(AI536:AM536,$B$3:$B$6,$C$3:$C$6))</f>
        <v>0</v>
      </c>
      <c r="AP536">
        <f t="shared" si="31"/>
        <v>0</v>
      </c>
    </row>
    <row r="537" spans="35:42" x14ac:dyDescent="0.2">
      <c r="AI537">
        <v>4</v>
      </c>
      <c r="AJ537">
        <v>2</v>
      </c>
      <c r="AK537">
        <v>3</v>
      </c>
      <c r="AL537">
        <v>3</v>
      </c>
      <c r="AM537">
        <v>5</v>
      </c>
      <c r="AN537">
        <f t="shared" si="30"/>
        <v>360</v>
      </c>
      <c r="AO537" cm="1">
        <f t="array" ref="AO537">PRODUCT(_xlfn.XLOOKUP(AI537:AM537,$B$3:$B$6,$C$3:$C$6))</f>
        <v>0</v>
      </c>
      <c r="AP537">
        <f t="shared" si="31"/>
        <v>0</v>
      </c>
    </row>
    <row r="538" spans="35:42" x14ac:dyDescent="0.2">
      <c r="AI538">
        <v>4</v>
      </c>
      <c r="AJ538">
        <v>2</v>
      </c>
      <c r="AK538">
        <v>3</v>
      </c>
      <c r="AL538">
        <v>4</v>
      </c>
      <c r="AM538">
        <v>2</v>
      </c>
      <c r="AN538">
        <f t="shared" si="30"/>
        <v>192</v>
      </c>
      <c r="AO538" cm="1">
        <f t="array" ref="AO538">PRODUCT(_xlfn.XLOOKUP(AI538:AM538,$B$3:$B$6,$C$3:$C$6))</f>
        <v>0</v>
      </c>
      <c r="AP538">
        <f t="shared" si="31"/>
        <v>0</v>
      </c>
    </row>
    <row r="539" spans="35:42" x14ac:dyDescent="0.2">
      <c r="AI539">
        <v>4</v>
      </c>
      <c r="AJ539">
        <v>2</v>
      </c>
      <c r="AK539">
        <v>3</v>
      </c>
      <c r="AL539">
        <v>4</v>
      </c>
      <c r="AM539">
        <v>3</v>
      </c>
      <c r="AN539">
        <f t="shared" si="30"/>
        <v>288</v>
      </c>
      <c r="AO539" cm="1">
        <f t="array" ref="AO539">PRODUCT(_xlfn.XLOOKUP(AI539:AM539,$B$3:$B$6,$C$3:$C$6))</f>
        <v>0</v>
      </c>
      <c r="AP539">
        <f t="shared" si="31"/>
        <v>0</v>
      </c>
    </row>
    <row r="540" spans="35:42" x14ac:dyDescent="0.2">
      <c r="AI540">
        <v>4</v>
      </c>
      <c r="AJ540">
        <v>2</v>
      </c>
      <c r="AK540">
        <v>3</v>
      </c>
      <c r="AL540">
        <v>4</v>
      </c>
      <c r="AM540">
        <v>4</v>
      </c>
      <c r="AN540">
        <f t="shared" si="30"/>
        <v>384</v>
      </c>
      <c r="AO540" cm="1">
        <f t="array" ref="AO540">PRODUCT(_xlfn.XLOOKUP(AI540:AM540,$B$3:$B$6,$C$3:$C$6))</f>
        <v>0</v>
      </c>
      <c r="AP540">
        <f t="shared" si="31"/>
        <v>0</v>
      </c>
    </row>
    <row r="541" spans="35:42" x14ac:dyDescent="0.2">
      <c r="AI541">
        <v>4</v>
      </c>
      <c r="AJ541">
        <v>2</v>
      </c>
      <c r="AK541">
        <v>3</v>
      </c>
      <c r="AL541">
        <v>4</v>
      </c>
      <c r="AM541">
        <v>5</v>
      </c>
      <c r="AN541">
        <f t="shared" si="30"/>
        <v>480</v>
      </c>
      <c r="AO541" cm="1">
        <f t="array" ref="AO541">PRODUCT(_xlfn.XLOOKUP(AI541:AM541,$B$3:$B$6,$C$3:$C$6))</f>
        <v>0</v>
      </c>
      <c r="AP541">
        <f t="shared" si="31"/>
        <v>0</v>
      </c>
    </row>
    <row r="542" spans="35:42" x14ac:dyDescent="0.2">
      <c r="AI542">
        <v>4</v>
      </c>
      <c r="AJ542">
        <v>2</v>
      </c>
      <c r="AK542">
        <v>3</v>
      </c>
      <c r="AL542">
        <v>5</v>
      </c>
      <c r="AM542">
        <v>2</v>
      </c>
      <c r="AN542">
        <f t="shared" si="30"/>
        <v>240</v>
      </c>
      <c r="AO542" cm="1">
        <f t="array" ref="AO542">PRODUCT(_xlfn.XLOOKUP(AI542:AM542,$B$3:$B$6,$C$3:$C$6))</f>
        <v>0</v>
      </c>
      <c r="AP542">
        <f t="shared" si="31"/>
        <v>0</v>
      </c>
    </row>
    <row r="543" spans="35:42" x14ac:dyDescent="0.2">
      <c r="AI543">
        <v>4</v>
      </c>
      <c r="AJ543">
        <v>2</v>
      </c>
      <c r="AK543">
        <v>3</v>
      </c>
      <c r="AL543">
        <v>5</v>
      </c>
      <c r="AM543">
        <v>3</v>
      </c>
      <c r="AN543">
        <f t="shared" si="30"/>
        <v>360</v>
      </c>
      <c r="AO543" cm="1">
        <f t="array" ref="AO543">PRODUCT(_xlfn.XLOOKUP(AI543:AM543,$B$3:$B$6,$C$3:$C$6))</f>
        <v>0</v>
      </c>
      <c r="AP543">
        <f t="shared" si="31"/>
        <v>0</v>
      </c>
    </row>
    <row r="544" spans="35:42" x14ac:dyDescent="0.2">
      <c r="AI544">
        <v>4</v>
      </c>
      <c r="AJ544">
        <v>2</v>
      </c>
      <c r="AK544">
        <v>3</v>
      </c>
      <c r="AL544">
        <v>5</v>
      </c>
      <c r="AM544">
        <v>4</v>
      </c>
      <c r="AN544">
        <f t="shared" si="30"/>
        <v>480</v>
      </c>
      <c r="AO544" cm="1">
        <f t="array" ref="AO544">PRODUCT(_xlfn.XLOOKUP(AI544:AM544,$B$3:$B$6,$C$3:$C$6))</f>
        <v>0</v>
      </c>
      <c r="AP544">
        <f t="shared" si="31"/>
        <v>0</v>
      </c>
    </row>
    <row r="545" spans="35:42" x14ac:dyDescent="0.2">
      <c r="AI545">
        <v>4</v>
      </c>
      <c r="AJ545">
        <v>2</v>
      </c>
      <c r="AK545">
        <v>3</v>
      </c>
      <c r="AL545">
        <v>5</v>
      </c>
      <c r="AM545">
        <v>5</v>
      </c>
      <c r="AN545">
        <f t="shared" si="30"/>
        <v>600</v>
      </c>
      <c r="AO545" cm="1">
        <f t="array" ref="AO545">PRODUCT(_xlfn.XLOOKUP(AI545:AM545,$B$3:$B$6,$C$3:$C$6))</f>
        <v>0</v>
      </c>
      <c r="AP545">
        <f t="shared" si="31"/>
        <v>0</v>
      </c>
    </row>
    <row r="546" spans="35:42" x14ac:dyDescent="0.2">
      <c r="AI546">
        <v>4</v>
      </c>
      <c r="AJ546">
        <v>2</v>
      </c>
      <c r="AK546">
        <v>4</v>
      </c>
      <c r="AL546">
        <v>2</v>
      </c>
      <c r="AM546">
        <v>2</v>
      </c>
      <c r="AN546">
        <f t="shared" si="30"/>
        <v>128</v>
      </c>
      <c r="AO546" cm="1">
        <f t="array" ref="AO546">PRODUCT(_xlfn.XLOOKUP(AI546:AM546,$B$3:$B$6,$C$3:$C$6))</f>
        <v>0</v>
      </c>
      <c r="AP546">
        <f t="shared" si="31"/>
        <v>0</v>
      </c>
    </row>
    <row r="547" spans="35:42" x14ac:dyDescent="0.2">
      <c r="AI547">
        <v>4</v>
      </c>
      <c r="AJ547">
        <v>2</v>
      </c>
      <c r="AK547">
        <v>4</v>
      </c>
      <c r="AL547">
        <v>2</v>
      </c>
      <c r="AM547">
        <v>3</v>
      </c>
      <c r="AN547">
        <f t="shared" si="30"/>
        <v>192</v>
      </c>
      <c r="AO547" cm="1">
        <f t="array" ref="AO547">PRODUCT(_xlfn.XLOOKUP(AI547:AM547,$B$3:$B$6,$C$3:$C$6))</f>
        <v>0</v>
      </c>
      <c r="AP547">
        <f t="shared" si="31"/>
        <v>0</v>
      </c>
    </row>
    <row r="548" spans="35:42" x14ac:dyDescent="0.2">
      <c r="AI548">
        <v>4</v>
      </c>
      <c r="AJ548">
        <v>2</v>
      </c>
      <c r="AK548">
        <v>4</v>
      </c>
      <c r="AL548">
        <v>2</v>
      </c>
      <c r="AM548">
        <v>4</v>
      </c>
      <c r="AN548">
        <f t="shared" si="30"/>
        <v>256</v>
      </c>
      <c r="AO548" cm="1">
        <f t="array" ref="AO548">PRODUCT(_xlfn.XLOOKUP(AI548:AM548,$B$3:$B$6,$C$3:$C$6))</f>
        <v>0</v>
      </c>
      <c r="AP548">
        <f t="shared" si="31"/>
        <v>0</v>
      </c>
    </row>
    <row r="549" spans="35:42" x14ac:dyDescent="0.2">
      <c r="AI549">
        <v>4</v>
      </c>
      <c r="AJ549">
        <v>2</v>
      </c>
      <c r="AK549">
        <v>4</v>
      </c>
      <c r="AL549">
        <v>2</v>
      </c>
      <c r="AM549">
        <v>5</v>
      </c>
      <c r="AN549">
        <f t="shared" si="30"/>
        <v>320</v>
      </c>
      <c r="AO549" cm="1">
        <f t="array" ref="AO549">PRODUCT(_xlfn.XLOOKUP(AI549:AM549,$B$3:$B$6,$C$3:$C$6))</f>
        <v>0</v>
      </c>
      <c r="AP549">
        <f t="shared" si="31"/>
        <v>0</v>
      </c>
    </row>
    <row r="550" spans="35:42" x14ac:dyDescent="0.2">
      <c r="AI550">
        <v>4</v>
      </c>
      <c r="AJ550">
        <v>2</v>
      </c>
      <c r="AK550">
        <v>4</v>
      </c>
      <c r="AL550">
        <v>3</v>
      </c>
      <c r="AM550">
        <v>2</v>
      </c>
      <c r="AN550">
        <f t="shared" si="30"/>
        <v>192</v>
      </c>
      <c r="AO550" cm="1">
        <f t="array" ref="AO550">PRODUCT(_xlfn.XLOOKUP(AI550:AM550,$B$3:$B$6,$C$3:$C$6))</f>
        <v>0</v>
      </c>
      <c r="AP550">
        <f t="shared" si="31"/>
        <v>0</v>
      </c>
    </row>
    <row r="551" spans="35:42" x14ac:dyDescent="0.2">
      <c r="AI551">
        <v>4</v>
      </c>
      <c r="AJ551">
        <v>2</v>
      </c>
      <c r="AK551">
        <v>4</v>
      </c>
      <c r="AL551">
        <v>3</v>
      </c>
      <c r="AM551">
        <v>3</v>
      </c>
      <c r="AN551">
        <f t="shared" si="30"/>
        <v>288</v>
      </c>
      <c r="AO551" cm="1">
        <f t="array" ref="AO551">PRODUCT(_xlfn.XLOOKUP(AI551:AM551,$B$3:$B$6,$C$3:$C$6))</f>
        <v>0</v>
      </c>
      <c r="AP551">
        <f t="shared" si="31"/>
        <v>0</v>
      </c>
    </row>
    <row r="552" spans="35:42" x14ac:dyDescent="0.2">
      <c r="AI552">
        <v>4</v>
      </c>
      <c r="AJ552">
        <v>2</v>
      </c>
      <c r="AK552">
        <v>4</v>
      </c>
      <c r="AL552">
        <v>3</v>
      </c>
      <c r="AM552">
        <v>4</v>
      </c>
      <c r="AN552">
        <f t="shared" si="30"/>
        <v>384</v>
      </c>
      <c r="AO552" cm="1">
        <f t="array" ref="AO552">PRODUCT(_xlfn.XLOOKUP(AI552:AM552,$B$3:$B$6,$C$3:$C$6))</f>
        <v>0</v>
      </c>
      <c r="AP552">
        <f t="shared" si="31"/>
        <v>0</v>
      </c>
    </row>
    <row r="553" spans="35:42" x14ac:dyDescent="0.2">
      <c r="AI553">
        <v>4</v>
      </c>
      <c r="AJ553">
        <v>2</v>
      </c>
      <c r="AK553">
        <v>4</v>
      </c>
      <c r="AL553">
        <v>3</v>
      </c>
      <c r="AM553">
        <v>5</v>
      </c>
      <c r="AN553">
        <f t="shared" si="30"/>
        <v>480</v>
      </c>
      <c r="AO553" cm="1">
        <f t="array" ref="AO553">PRODUCT(_xlfn.XLOOKUP(AI553:AM553,$B$3:$B$6,$C$3:$C$6))</f>
        <v>0</v>
      </c>
      <c r="AP553">
        <f t="shared" si="31"/>
        <v>0</v>
      </c>
    </row>
    <row r="554" spans="35:42" x14ac:dyDescent="0.2">
      <c r="AI554">
        <v>4</v>
      </c>
      <c r="AJ554">
        <v>2</v>
      </c>
      <c r="AK554">
        <v>4</v>
      </c>
      <c r="AL554">
        <v>4</v>
      </c>
      <c r="AM554">
        <v>2</v>
      </c>
      <c r="AN554">
        <f t="shared" si="30"/>
        <v>256</v>
      </c>
      <c r="AO554" cm="1">
        <f t="array" ref="AO554">PRODUCT(_xlfn.XLOOKUP(AI554:AM554,$B$3:$B$6,$C$3:$C$6))</f>
        <v>0</v>
      </c>
      <c r="AP554">
        <f t="shared" si="31"/>
        <v>0</v>
      </c>
    </row>
    <row r="555" spans="35:42" x14ac:dyDescent="0.2">
      <c r="AI555">
        <v>4</v>
      </c>
      <c r="AJ555">
        <v>2</v>
      </c>
      <c r="AK555">
        <v>4</v>
      </c>
      <c r="AL555">
        <v>4</v>
      </c>
      <c r="AM555">
        <v>3</v>
      </c>
      <c r="AN555">
        <f t="shared" si="30"/>
        <v>384</v>
      </c>
      <c r="AO555" cm="1">
        <f t="array" ref="AO555">PRODUCT(_xlfn.XLOOKUP(AI555:AM555,$B$3:$B$6,$C$3:$C$6))</f>
        <v>0</v>
      </c>
      <c r="AP555">
        <f t="shared" si="31"/>
        <v>0</v>
      </c>
    </row>
    <row r="556" spans="35:42" x14ac:dyDescent="0.2">
      <c r="AI556">
        <v>4</v>
      </c>
      <c r="AJ556">
        <v>2</v>
      </c>
      <c r="AK556">
        <v>4</v>
      </c>
      <c r="AL556">
        <v>4</v>
      </c>
      <c r="AM556">
        <v>4</v>
      </c>
      <c r="AN556">
        <f t="shared" si="30"/>
        <v>512</v>
      </c>
      <c r="AO556" cm="1">
        <f t="array" ref="AO556">PRODUCT(_xlfn.XLOOKUP(AI556:AM556,$B$3:$B$6,$C$3:$C$6))</f>
        <v>0</v>
      </c>
      <c r="AP556">
        <f t="shared" si="31"/>
        <v>0</v>
      </c>
    </row>
    <row r="557" spans="35:42" x14ac:dyDescent="0.2">
      <c r="AI557">
        <v>4</v>
      </c>
      <c r="AJ557">
        <v>2</v>
      </c>
      <c r="AK557">
        <v>4</v>
      </c>
      <c r="AL557">
        <v>4</v>
      </c>
      <c r="AM557">
        <v>5</v>
      </c>
      <c r="AN557">
        <f t="shared" si="30"/>
        <v>640</v>
      </c>
      <c r="AO557" cm="1">
        <f t="array" ref="AO557">PRODUCT(_xlfn.XLOOKUP(AI557:AM557,$B$3:$B$6,$C$3:$C$6))</f>
        <v>0</v>
      </c>
      <c r="AP557">
        <f t="shared" si="31"/>
        <v>0</v>
      </c>
    </row>
    <row r="558" spans="35:42" x14ac:dyDescent="0.2">
      <c r="AI558">
        <v>4</v>
      </c>
      <c r="AJ558">
        <v>2</v>
      </c>
      <c r="AK558">
        <v>4</v>
      </c>
      <c r="AL558">
        <v>5</v>
      </c>
      <c r="AM558">
        <v>2</v>
      </c>
      <c r="AN558">
        <f t="shared" si="30"/>
        <v>320</v>
      </c>
      <c r="AO558" cm="1">
        <f t="array" ref="AO558">PRODUCT(_xlfn.XLOOKUP(AI558:AM558,$B$3:$B$6,$C$3:$C$6))</f>
        <v>0</v>
      </c>
      <c r="AP558">
        <f t="shared" si="31"/>
        <v>0</v>
      </c>
    </row>
    <row r="559" spans="35:42" x14ac:dyDescent="0.2">
      <c r="AI559">
        <v>4</v>
      </c>
      <c r="AJ559">
        <v>2</v>
      </c>
      <c r="AK559">
        <v>4</v>
      </c>
      <c r="AL559">
        <v>5</v>
      </c>
      <c r="AM559">
        <v>3</v>
      </c>
      <c r="AN559">
        <f t="shared" si="30"/>
        <v>480</v>
      </c>
      <c r="AO559" cm="1">
        <f t="array" ref="AO559">PRODUCT(_xlfn.XLOOKUP(AI559:AM559,$B$3:$B$6,$C$3:$C$6))</f>
        <v>0</v>
      </c>
      <c r="AP559">
        <f t="shared" si="31"/>
        <v>0</v>
      </c>
    </row>
    <row r="560" spans="35:42" x14ac:dyDescent="0.2">
      <c r="AI560">
        <v>4</v>
      </c>
      <c r="AJ560">
        <v>2</v>
      </c>
      <c r="AK560">
        <v>4</v>
      </c>
      <c r="AL560">
        <v>5</v>
      </c>
      <c r="AM560">
        <v>4</v>
      </c>
      <c r="AN560">
        <f t="shared" si="30"/>
        <v>640</v>
      </c>
      <c r="AO560" cm="1">
        <f t="array" ref="AO560">PRODUCT(_xlfn.XLOOKUP(AI560:AM560,$B$3:$B$6,$C$3:$C$6))</f>
        <v>0</v>
      </c>
      <c r="AP560">
        <f t="shared" si="31"/>
        <v>0</v>
      </c>
    </row>
    <row r="561" spans="35:42" x14ac:dyDescent="0.2">
      <c r="AI561">
        <v>4</v>
      </c>
      <c r="AJ561">
        <v>2</v>
      </c>
      <c r="AK561">
        <v>4</v>
      </c>
      <c r="AL561">
        <v>5</v>
      </c>
      <c r="AM561">
        <v>5</v>
      </c>
      <c r="AN561">
        <f t="shared" si="30"/>
        <v>800</v>
      </c>
      <c r="AO561" cm="1">
        <f t="array" ref="AO561">PRODUCT(_xlfn.XLOOKUP(AI561:AM561,$B$3:$B$6,$C$3:$C$6))</f>
        <v>0</v>
      </c>
      <c r="AP561">
        <f t="shared" si="31"/>
        <v>0</v>
      </c>
    </row>
    <row r="562" spans="35:42" x14ac:dyDescent="0.2">
      <c r="AI562">
        <v>4</v>
      </c>
      <c r="AJ562">
        <v>2</v>
      </c>
      <c r="AK562">
        <v>5</v>
      </c>
      <c r="AL562">
        <v>2</v>
      </c>
      <c r="AM562">
        <v>2</v>
      </c>
      <c r="AN562">
        <f t="shared" si="30"/>
        <v>160</v>
      </c>
      <c r="AO562" cm="1">
        <f t="array" ref="AO562">PRODUCT(_xlfn.XLOOKUP(AI562:AM562,$B$3:$B$6,$C$3:$C$6))</f>
        <v>0</v>
      </c>
      <c r="AP562">
        <f t="shared" si="31"/>
        <v>0</v>
      </c>
    </row>
    <row r="563" spans="35:42" x14ac:dyDescent="0.2">
      <c r="AI563">
        <v>4</v>
      </c>
      <c r="AJ563">
        <v>2</v>
      </c>
      <c r="AK563">
        <v>5</v>
      </c>
      <c r="AL563">
        <v>2</v>
      </c>
      <c r="AM563">
        <v>3</v>
      </c>
      <c r="AN563">
        <f t="shared" si="30"/>
        <v>240</v>
      </c>
      <c r="AO563" cm="1">
        <f t="array" ref="AO563">PRODUCT(_xlfn.XLOOKUP(AI563:AM563,$B$3:$B$6,$C$3:$C$6))</f>
        <v>0</v>
      </c>
      <c r="AP563">
        <f t="shared" si="31"/>
        <v>0</v>
      </c>
    </row>
    <row r="564" spans="35:42" x14ac:dyDescent="0.2">
      <c r="AI564">
        <v>4</v>
      </c>
      <c r="AJ564">
        <v>2</v>
      </c>
      <c r="AK564">
        <v>5</v>
      </c>
      <c r="AL564">
        <v>2</v>
      </c>
      <c r="AM564">
        <v>4</v>
      </c>
      <c r="AN564">
        <f t="shared" si="30"/>
        <v>320</v>
      </c>
      <c r="AO564" cm="1">
        <f t="array" ref="AO564">PRODUCT(_xlfn.XLOOKUP(AI564:AM564,$B$3:$B$6,$C$3:$C$6))</f>
        <v>0</v>
      </c>
      <c r="AP564">
        <f t="shared" si="31"/>
        <v>0</v>
      </c>
    </row>
    <row r="565" spans="35:42" x14ac:dyDescent="0.2">
      <c r="AI565">
        <v>4</v>
      </c>
      <c r="AJ565">
        <v>2</v>
      </c>
      <c r="AK565">
        <v>5</v>
      </c>
      <c r="AL565">
        <v>2</v>
      </c>
      <c r="AM565">
        <v>5</v>
      </c>
      <c r="AN565">
        <f t="shared" si="30"/>
        <v>400</v>
      </c>
      <c r="AO565" cm="1">
        <f t="array" ref="AO565">PRODUCT(_xlfn.XLOOKUP(AI565:AM565,$B$3:$B$6,$C$3:$C$6))</f>
        <v>0</v>
      </c>
      <c r="AP565">
        <f t="shared" si="31"/>
        <v>0</v>
      </c>
    </row>
    <row r="566" spans="35:42" x14ac:dyDescent="0.2">
      <c r="AI566">
        <v>4</v>
      </c>
      <c r="AJ566">
        <v>2</v>
      </c>
      <c r="AK566">
        <v>5</v>
      </c>
      <c r="AL566">
        <v>3</v>
      </c>
      <c r="AM566">
        <v>2</v>
      </c>
      <c r="AN566">
        <f t="shared" si="30"/>
        <v>240</v>
      </c>
      <c r="AO566" cm="1">
        <f t="array" ref="AO566">PRODUCT(_xlfn.XLOOKUP(AI566:AM566,$B$3:$B$6,$C$3:$C$6))</f>
        <v>0</v>
      </c>
      <c r="AP566">
        <f t="shared" si="31"/>
        <v>0</v>
      </c>
    </row>
    <row r="567" spans="35:42" x14ac:dyDescent="0.2">
      <c r="AI567">
        <v>4</v>
      </c>
      <c r="AJ567">
        <v>2</v>
      </c>
      <c r="AK567">
        <v>5</v>
      </c>
      <c r="AL567">
        <v>3</v>
      </c>
      <c r="AM567">
        <v>3</v>
      </c>
      <c r="AN567">
        <f t="shared" si="30"/>
        <v>360</v>
      </c>
      <c r="AO567" cm="1">
        <f t="array" ref="AO567">PRODUCT(_xlfn.XLOOKUP(AI567:AM567,$B$3:$B$6,$C$3:$C$6))</f>
        <v>0</v>
      </c>
      <c r="AP567">
        <f t="shared" si="31"/>
        <v>0</v>
      </c>
    </row>
    <row r="568" spans="35:42" x14ac:dyDescent="0.2">
      <c r="AI568">
        <v>4</v>
      </c>
      <c r="AJ568">
        <v>2</v>
      </c>
      <c r="AK568">
        <v>5</v>
      </c>
      <c r="AL568">
        <v>3</v>
      </c>
      <c r="AM568">
        <v>4</v>
      </c>
      <c r="AN568">
        <f t="shared" si="30"/>
        <v>480</v>
      </c>
      <c r="AO568" cm="1">
        <f t="array" ref="AO568">PRODUCT(_xlfn.XLOOKUP(AI568:AM568,$B$3:$B$6,$C$3:$C$6))</f>
        <v>0</v>
      </c>
      <c r="AP568">
        <f t="shared" si="31"/>
        <v>0</v>
      </c>
    </row>
    <row r="569" spans="35:42" x14ac:dyDescent="0.2">
      <c r="AI569">
        <v>4</v>
      </c>
      <c r="AJ569">
        <v>2</v>
      </c>
      <c r="AK569">
        <v>5</v>
      </c>
      <c r="AL569">
        <v>3</v>
      </c>
      <c r="AM569">
        <v>5</v>
      </c>
      <c r="AN569">
        <f t="shared" si="30"/>
        <v>600</v>
      </c>
      <c r="AO569" cm="1">
        <f t="array" ref="AO569">PRODUCT(_xlfn.XLOOKUP(AI569:AM569,$B$3:$B$6,$C$3:$C$6))</f>
        <v>0</v>
      </c>
      <c r="AP569">
        <f t="shared" si="31"/>
        <v>0</v>
      </c>
    </row>
    <row r="570" spans="35:42" x14ac:dyDescent="0.2">
      <c r="AI570">
        <v>4</v>
      </c>
      <c r="AJ570">
        <v>2</v>
      </c>
      <c r="AK570">
        <v>5</v>
      </c>
      <c r="AL570">
        <v>4</v>
      </c>
      <c r="AM570">
        <v>2</v>
      </c>
      <c r="AN570">
        <f t="shared" si="30"/>
        <v>320</v>
      </c>
      <c r="AO570" cm="1">
        <f t="array" ref="AO570">PRODUCT(_xlfn.XLOOKUP(AI570:AM570,$B$3:$B$6,$C$3:$C$6))</f>
        <v>0</v>
      </c>
      <c r="AP570">
        <f t="shared" si="31"/>
        <v>0</v>
      </c>
    </row>
    <row r="571" spans="35:42" x14ac:dyDescent="0.2">
      <c r="AI571">
        <v>4</v>
      </c>
      <c r="AJ571">
        <v>2</v>
      </c>
      <c r="AK571">
        <v>5</v>
      </c>
      <c r="AL571">
        <v>4</v>
      </c>
      <c r="AM571">
        <v>3</v>
      </c>
      <c r="AN571">
        <f t="shared" si="30"/>
        <v>480</v>
      </c>
      <c r="AO571" cm="1">
        <f t="array" ref="AO571">PRODUCT(_xlfn.XLOOKUP(AI571:AM571,$B$3:$B$6,$C$3:$C$6))</f>
        <v>0</v>
      </c>
      <c r="AP571">
        <f t="shared" si="31"/>
        <v>0</v>
      </c>
    </row>
    <row r="572" spans="35:42" x14ac:dyDescent="0.2">
      <c r="AI572">
        <v>4</v>
      </c>
      <c r="AJ572">
        <v>2</v>
      </c>
      <c r="AK572">
        <v>5</v>
      </c>
      <c r="AL572">
        <v>4</v>
      </c>
      <c r="AM572">
        <v>4</v>
      </c>
      <c r="AN572">
        <f t="shared" si="30"/>
        <v>640</v>
      </c>
      <c r="AO572" cm="1">
        <f t="array" ref="AO572">PRODUCT(_xlfn.XLOOKUP(AI572:AM572,$B$3:$B$6,$C$3:$C$6))</f>
        <v>0</v>
      </c>
      <c r="AP572">
        <f t="shared" si="31"/>
        <v>0</v>
      </c>
    </row>
    <row r="573" spans="35:42" x14ac:dyDescent="0.2">
      <c r="AI573">
        <v>4</v>
      </c>
      <c r="AJ573">
        <v>2</v>
      </c>
      <c r="AK573">
        <v>5</v>
      </c>
      <c r="AL573">
        <v>4</v>
      </c>
      <c r="AM573">
        <v>5</v>
      </c>
      <c r="AN573">
        <f t="shared" si="30"/>
        <v>800</v>
      </c>
      <c r="AO573" cm="1">
        <f t="array" ref="AO573">PRODUCT(_xlfn.XLOOKUP(AI573:AM573,$B$3:$B$6,$C$3:$C$6))</f>
        <v>0</v>
      </c>
      <c r="AP573">
        <f t="shared" si="31"/>
        <v>0</v>
      </c>
    </row>
    <row r="574" spans="35:42" x14ac:dyDescent="0.2">
      <c r="AI574">
        <v>4</v>
      </c>
      <c r="AJ574">
        <v>2</v>
      </c>
      <c r="AK574">
        <v>5</v>
      </c>
      <c r="AL574">
        <v>5</v>
      </c>
      <c r="AM574">
        <v>2</v>
      </c>
      <c r="AN574">
        <f t="shared" si="30"/>
        <v>400</v>
      </c>
      <c r="AO574" cm="1">
        <f t="array" ref="AO574">PRODUCT(_xlfn.XLOOKUP(AI574:AM574,$B$3:$B$6,$C$3:$C$6))</f>
        <v>0</v>
      </c>
      <c r="AP574">
        <f t="shared" si="31"/>
        <v>0</v>
      </c>
    </row>
    <row r="575" spans="35:42" x14ac:dyDescent="0.2">
      <c r="AI575">
        <v>4</v>
      </c>
      <c r="AJ575">
        <v>2</v>
      </c>
      <c r="AK575">
        <v>5</v>
      </c>
      <c r="AL575">
        <v>5</v>
      </c>
      <c r="AM575">
        <v>3</v>
      </c>
      <c r="AN575">
        <f t="shared" si="30"/>
        <v>600</v>
      </c>
      <c r="AO575" cm="1">
        <f t="array" ref="AO575">PRODUCT(_xlfn.XLOOKUP(AI575:AM575,$B$3:$B$6,$C$3:$C$6))</f>
        <v>0</v>
      </c>
      <c r="AP575">
        <f t="shared" si="31"/>
        <v>0</v>
      </c>
    </row>
    <row r="576" spans="35:42" x14ac:dyDescent="0.2">
      <c r="AI576">
        <v>4</v>
      </c>
      <c r="AJ576">
        <v>2</v>
      </c>
      <c r="AK576">
        <v>5</v>
      </c>
      <c r="AL576">
        <v>5</v>
      </c>
      <c r="AM576">
        <v>4</v>
      </c>
      <c r="AN576">
        <f t="shared" si="30"/>
        <v>800</v>
      </c>
      <c r="AO576" cm="1">
        <f t="array" ref="AO576">PRODUCT(_xlfn.XLOOKUP(AI576:AM576,$B$3:$B$6,$C$3:$C$6))</f>
        <v>0</v>
      </c>
      <c r="AP576">
        <f t="shared" si="31"/>
        <v>0</v>
      </c>
    </row>
    <row r="577" spans="35:42" x14ac:dyDescent="0.2">
      <c r="AI577">
        <v>4</v>
      </c>
      <c r="AJ577">
        <v>2</v>
      </c>
      <c r="AK577">
        <v>5</v>
      </c>
      <c r="AL577">
        <v>5</v>
      </c>
      <c r="AM577">
        <v>5</v>
      </c>
      <c r="AN577">
        <f t="shared" si="30"/>
        <v>1000</v>
      </c>
      <c r="AO577" cm="1">
        <f t="array" ref="AO577">PRODUCT(_xlfn.XLOOKUP(AI577:AM577,$B$3:$B$6,$C$3:$C$6))</f>
        <v>0</v>
      </c>
      <c r="AP577">
        <f t="shared" si="31"/>
        <v>0</v>
      </c>
    </row>
    <row r="578" spans="35:42" x14ac:dyDescent="0.2">
      <c r="AI578">
        <v>4</v>
      </c>
      <c r="AJ578">
        <v>3</v>
      </c>
      <c r="AK578">
        <v>2</v>
      </c>
      <c r="AL578">
        <v>2</v>
      </c>
      <c r="AM578">
        <v>2</v>
      </c>
      <c r="AN578">
        <f t="shared" si="30"/>
        <v>96</v>
      </c>
      <c r="AO578" cm="1">
        <f t="array" ref="AO578">PRODUCT(_xlfn.XLOOKUP(AI578:AM578,$B$3:$B$6,$C$3:$C$6))</f>
        <v>0</v>
      </c>
      <c r="AP578">
        <f t="shared" si="31"/>
        <v>0</v>
      </c>
    </row>
    <row r="579" spans="35:42" x14ac:dyDescent="0.2">
      <c r="AI579">
        <v>4</v>
      </c>
      <c r="AJ579">
        <v>3</v>
      </c>
      <c r="AK579">
        <v>2</v>
      </c>
      <c r="AL579">
        <v>2</v>
      </c>
      <c r="AM579">
        <v>3</v>
      </c>
      <c r="AN579">
        <f t="shared" ref="AN579:AN642" si="32">PRODUCT(AI579:AM579)</f>
        <v>144</v>
      </c>
      <c r="AO579" cm="1">
        <f t="array" ref="AO579">PRODUCT(_xlfn.XLOOKUP(AI579:AM579,$B$3:$B$6,$C$3:$C$6))</f>
        <v>0</v>
      </c>
      <c r="AP579">
        <f t="shared" ref="AP579:AP642" si="33">AN579*AO579</f>
        <v>0</v>
      </c>
    </row>
    <row r="580" spans="35:42" x14ac:dyDescent="0.2">
      <c r="AI580">
        <v>4</v>
      </c>
      <c r="AJ580">
        <v>3</v>
      </c>
      <c r="AK580">
        <v>2</v>
      </c>
      <c r="AL580">
        <v>2</v>
      </c>
      <c r="AM580">
        <v>4</v>
      </c>
      <c r="AN580">
        <f t="shared" si="32"/>
        <v>192</v>
      </c>
      <c r="AO580" cm="1">
        <f t="array" ref="AO580">PRODUCT(_xlfn.XLOOKUP(AI580:AM580,$B$3:$B$6,$C$3:$C$6))</f>
        <v>0</v>
      </c>
      <c r="AP580">
        <f t="shared" si="33"/>
        <v>0</v>
      </c>
    </row>
    <row r="581" spans="35:42" x14ac:dyDescent="0.2">
      <c r="AI581">
        <v>4</v>
      </c>
      <c r="AJ581">
        <v>3</v>
      </c>
      <c r="AK581">
        <v>2</v>
      </c>
      <c r="AL581">
        <v>2</v>
      </c>
      <c r="AM581">
        <v>5</v>
      </c>
      <c r="AN581">
        <f t="shared" si="32"/>
        <v>240</v>
      </c>
      <c r="AO581" cm="1">
        <f t="array" ref="AO581">PRODUCT(_xlfn.XLOOKUP(AI581:AM581,$B$3:$B$6,$C$3:$C$6))</f>
        <v>0</v>
      </c>
      <c r="AP581">
        <f t="shared" si="33"/>
        <v>0</v>
      </c>
    </row>
    <row r="582" spans="35:42" x14ac:dyDescent="0.2">
      <c r="AI582">
        <v>4</v>
      </c>
      <c r="AJ582">
        <v>3</v>
      </c>
      <c r="AK582">
        <v>2</v>
      </c>
      <c r="AL582">
        <v>3</v>
      </c>
      <c r="AM582">
        <v>2</v>
      </c>
      <c r="AN582">
        <f t="shared" si="32"/>
        <v>144</v>
      </c>
      <c r="AO582" cm="1">
        <f t="array" ref="AO582">PRODUCT(_xlfn.XLOOKUP(AI582:AM582,$B$3:$B$6,$C$3:$C$6))</f>
        <v>0</v>
      </c>
      <c r="AP582">
        <f t="shared" si="33"/>
        <v>0</v>
      </c>
    </row>
    <row r="583" spans="35:42" x14ac:dyDescent="0.2">
      <c r="AI583">
        <v>4</v>
      </c>
      <c r="AJ583">
        <v>3</v>
      </c>
      <c r="AK583">
        <v>2</v>
      </c>
      <c r="AL583">
        <v>3</v>
      </c>
      <c r="AM583">
        <v>3</v>
      </c>
      <c r="AN583">
        <f t="shared" si="32"/>
        <v>216</v>
      </c>
      <c r="AO583" cm="1">
        <f t="array" ref="AO583">PRODUCT(_xlfn.XLOOKUP(AI583:AM583,$B$3:$B$6,$C$3:$C$6))</f>
        <v>0</v>
      </c>
      <c r="AP583">
        <f t="shared" si="33"/>
        <v>0</v>
      </c>
    </row>
    <row r="584" spans="35:42" x14ac:dyDescent="0.2">
      <c r="AI584">
        <v>4</v>
      </c>
      <c r="AJ584">
        <v>3</v>
      </c>
      <c r="AK584">
        <v>2</v>
      </c>
      <c r="AL584">
        <v>3</v>
      </c>
      <c r="AM584">
        <v>4</v>
      </c>
      <c r="AN584">
        <f t="shared" si="32"/>
        <v>288</v>
      </c>
      <c r="AO584" cm="1">
        <f t="array" ref="AO584">PRODUCT(_xlfn.XLOOKUP(AI584:AM584,$B$3:$B$6,$C$3:$C$6))</f>
        <v>0</v>
      </c>
      <c r="AP584">
        <f t="shared" si="33"/>
        <v>0</v>
      </c>
    </row>
    <row r="585" spans="35:42" x14ac:dyDescent="0.2">
      <c r="AI585">
        <v>4</v>
      </c>
      <c r="AJ585">
        <v>3</v>
      </c>
      <c r="AK585">
        <v>2</v>
      </c>
      <c r="AL585">
        <v>3</v>
      </c>
      <c r="AM585">
        <v>5</v>
      </c>
      <c r="AN585">
        <f t="shared" si="32"/>
        <v>360</v>
      </c>
      <c r="AO585" cm="1">
        <f t="array" ref="AO585">PRODUCT(_xlfn.XLOOKUP(AI585:AM585,$B$3:$B$6,$C$3:$C$6))</f>
        <v>0</v>
      </c>
      <c r="AP585">
        <f t="shared" si="33"/>
        <v>0</v>
      </c>
    </row>
    <row r="586" spans="35:42" x14ac:dyDescent="0.2">
      <c r="AI586">
        <v>4</v>
      </c>
      <c r="AJ586">
        <v>3</v>
      </c>
      <c r="AK586">
        <v>2</v>
      </c>
      <c r="AL586">
        <v>4</v>
      </c>
      <c r="AM586">
        <v>2</v>
      </c>
      <c r="AN586">
        <f t="shared" si="32"/>
        <v>192</v>
      </c>
      <c r="AO586" cm="1">
        <f t="array" ref="AO586">PRODUCT(_xlfn.XLOOKUP(AI586:AM586,$B$3:$B$6,$C$3:$C$6))</f>
        <v>0</v>
      </c>
      <c r="AP586">
        <f t="shared" si="33"/>
        <v>0</v>
      </c>
    </row>
    <row r="587" spans="35:42" x14ac:dyDescent="0.2">
      <c r="AI587">
        <v>4</v>
      </c>
      <c r="AJ587">
        <v>3</v>
      </c>
      <c r="AK587">
        <v>2</v>
      </c>
      <c r="AL587">
        <v>4</v>
      </c>
      <c r="AM587">
        <v>3</v>
      </c>
      <c r="AN587">
        <f t="shared" si="32"/>
        <v>288</v>
      </c>
      <c r="AO587" cm="1">
        <f t="array" ref="AO587">PRODUCT(_xlfn.XLOOKUP(AI587:AM587,$B$3:$B$6,$C$3:$C$6))</f>
        <v>0</v>
      </c>
      <c r="AP587">
        <f t="shared" si="33"/>
        <v>0</v>
      </c>
    </row>
    <row r="588" spans="35:42" x14ac:dyDescent="0.2">
      <c r="AI588">
        <v>4</v>
      </c>
      <c r="AJ588">
        <v>3</v>
      </c>
      <c r="AK588">
        <v>2</v>
      </c>
      <c r="AL588">
        <v>4</v>
      </c>
      <c r="AM588">
        <v>4</v>
      </c>
      <c r="AN588">
        <f t="shared" si="32"/>
        <v>384</v>
      </c>
      <c r="AO588" cm="1">
        <f t="array" ref="AO588">PRODUCT(_xlfn.XLOOKUP(AI588:AM588,$B$3:$B$6,$C$3:$C$6))</f>
        <v>0</v>
      </c>
      <c r="AP588">
        <f t="shared" si="33"/>
        <v>0</v>
      </c>
    </row>
    <row r="589" spans="35:42" x14ac:dyDescent="0.2">
      <c r="AI589">
        <v>4</v>
      </c>
      <c r="AJ589">
        <v>3</v>
      </c>
      <c r="AK589">
        <v>2</v>
      </c>
      <c r="AL589">
        <v>4</v>
      </c>
      <c r="AM589">
        <v>5</v>
      </c>
      <c r="AN589">
        <f t="shared" si="32"/>
        <v>480</v>
      </c>
      <c r="AO589" cm="1">
        <f t="array" ref="AO589">PRODUCT(_xlfn.XLOOKUP(AI589:AM589,$B$3:$B$6,$C$3:$C$6))</f>
        <v>0</v>
      </c>
      <c r="AP589">
        <f t="shared" si="33"/>
        <v>0</v>
      </c>
    </row>
    <row r="590" spans="35:42" x14ac:dyDescent="0.2">
      <c r="AI590">
        <v>4</v>
      </c>
      <c r="AJ590">
        <v>3</v>
      </c>
      <c r="AK590">
        <v>2</v>
      </c>
      <c r="AL590">
        <v>5</v>
      </c>
      <c r="AM590">
        <v>2</v>
      </c>
      <c r="AN590">
        <f t="shared" si="32"/>
        <v>240</v>
      </c>
      <c r="AO590" cm="1">
        <f t="array" ref="AO590">PRODUCT(_xlfn.XLOOKUP(AI590:AM590,$B$3:$B$6,$C$3:$C$6))</f>
        <v>0</v>
      </c>
      <c r="AP590">
        <f t="shared" si="33"/>
        <v>0</v>
      </c>
    </row>
    <row r="591" spans="35:42" x14ac:dyDescent="0.2">
      <c r="AI591">
        <v>4</v>
      </c>
      <c r="AJ591">
        <v>3</v>
      </c>
      <c r="AK591">
        <v>2</v>
      </c>
      <c r="AL591">
        <v>5</v>
      </c>
      <c r="AM591">
        <v>3</v>
      </c>
      <c r="AN591">
        <f t="shared" si="32"/>
        <v>360</v>
      </c>
      <c r="AO591" cm="1">
        <f t="array" ref="AO591">PRODUCT(_xlfn.XLOOKUP(AI591:AM591,$B$3:$B$6,$C$3:$C$6))</f>
        <v>0</v>
      </c>
      <c r="AP591">
        <f t="shared" si="33"/>
        <v>0</v>
      </c>
    </row>
    <row r="592" spans="35:42" x14ac:dyDescent="0.2">
      <c r="AI592">
        <v>4</v>
      </c>
      <c r="AJ592">
        <v>3</v>
      </c>
      <c r="AK592">
        <v>2</v>
      </c>
      <c r="AL592">
        <v>5</v>
      </c>
      <c r="AM592">
        <v>4</v>
      </c>
      <c r="AN592">
        <f t="shared" si="32"/>
        <v>480</v>
      </c>
      <c r="AO592" cm="1">
        <f t="array" ref="AO592">PRODUCT(_xlfn.XLOOKUP(AI592:AM592,$B$3:$B$6,$C$3:$C$6))</f>
        <v>0</v>
      </c>
      <c r="AP592">
        <f t="shared" si="33"/>
        <v>0</v>
      </c>
    </row>
    <row r="593" spans="35:42" x14ac:dyDescent="0.2">
      <c r="AI593">
        <v>4</v>
      </c>
      <c r="AJ593">
        <v>3</v>
      </c>
      <c r="AK593">
        <v>2</v>
      </c>
      <c r="AL593">
        <v>5</v>
      </c>
      <c r="AM593">
        <v>5</v>
      </c>
      <c r="AN593">
        <f t="shared" si="32"/>
        <v>600</v>
      </c>
      <c r="AO593" cm="1">
        <f t="array" ref="AO593">PRODUCT(_xlfn.XLOOKUP(AI593:AM593,$B$3:$B$6,$C$3:$C$6))</f>
        <v>0</v>
      </c>
      <c r="AP593">
        <f t="shared" si="33"/>
        <v>0</v>
      </c>
    </row>
    <row r="594" spans="35:42" x14ac:dyDescent="0.2">
      <c r="AI594">
        <v>4</v>
      </c>
      <c r="AJ594">
        <v>3</v>
      </c>
      <c r="AK594">
        <v>3</v>
      </c>
      <c r="AL594">
        <v>2</v>
      </c>
      <c r="AM594">
        <v>2</v>
      </c>
      <c r="AN594">
        <f t="shared" si="32"/>
        <v>144</v>
      </c>
      <c r="AO594" cm="1">
        <f t="array" ref="AO594">PRODUCT(_xlfn.XLOOKUP(AI594:AM594,$B$3:$B$6,$C$3:$C$6))</f>
        <v>0</v>
      </c>
      <c r="AP594">
        <f t="shared" si="33"/>
        <v>0</v>
      </c>
    </row>
    <row r="595" spans="35:42" x14ac:dyDescent="0.2">
      <c r="AI595">
        <v>4</v>
      </c>
      <c r="AJ595">
        <v>3</v>
      </c>
      <c r="AK595">
        <v>3</v>
      </c>
      <c r="AL595">
        <v>2</v>
      </c>
      <c r="AM595">
        <v>3</v>
      </c>
      <c r="AN595">
        <f t="shared" si="32"/>
        <v>216</v>
      </c>
      <c r="AO595" cm="1">
        <f t="array" ref="AO595">PRODUCT(_xlfn.XLOOKUP(AI595:AM595,$B$3:$B$6,$C$3:$C$6))</f>
        <v>0</v>
      </c>
      <c r="AP595">
        <f t="shared" si="33"/>
        <v>0</v>
      </c>
    </row>
    <row r="596" spans="35:42" x14ac:dyDescent="0.2">
      <c r="AI596">
        <v>4</v>
      </c>
      <c r="AJ596">
        <v>3</v>
      </c>
      <c r="AK596">
        <v>3</v>
      </c>
      <c r="AL596">
        <v>2</v>
      </c>
      <c r="AM596">
        <v>4</v>
      </c>
      <c r="AN596">
        <f t="shared" si="32"/>
        <v>288</v>
      </c>
      <c r="AO596" cm="1">
        <f t="array" ref="AO596">PRODUCT(_xlfn.XLOOKUP(AI596:AM596,$B$3:$B$6,$C$3:$C$6))</f>
        <v>0</v>
      </c>
      <c r="AP596">
        <f t="shared" si="33"/>
        <v>0</v>
      </c>
    </row>
    <row r="597" spans="35:42" x14ac:dyDescent="0.2">
      <c r="AI597">
        <v>4</v>
      </c>
      <c r="AJ597">
        <v>3</v>
      </c>
      <c r="AK597">
        <v>3</v>
      </c>
      <c r="AL597">
        <v>2</v>
      </c>
      <c r="AM597">
        <v>5</v>
      </c>
      <c r="AN597">
        <f t="shared" si="32"/>
        <v>360</v>
      </c>
      <c r="AO597" cm="1">
        <f t="array" ref="AO597">PRODUCT(_xlfn.XLOOKUP(AI597:AM597,$B$3:$B$6,$C$3:$C$6))</f>
        <v>0</v>
      </c>
      <c r="AP597">
        <f t="shared" si="33"/>
        <v>0</v>
      </c>
    </row>
    <row r="598" spans="35:42" x14ac:dyDescent="0.2">
      <c r="AI598">
        <v>4</v>
      </c>
      <c r="AJ598">
        <v>3</v>
      </c>
      <c r="AK598">
        <v>3</v>
      </c>
      <c r="AL598">
        <v>3</v>
      </c>
      <c r="AM598">
        <v>2</v>
      </c>
      <c r="AN598">
        <f t="shared" si="32"/>
        <v>216</v>
      </c>
      <c r="AO598" cm="1">
        <f t="array" ref="AO598">PRODUCT(_xlfn.XLOOKUP(AI598:AM598,$B$3:$B$6,$C$3:$C$6))</f>
        <v>0</v>
      </c>
      <c r="AP598">
        <f t="shared" si="33"/>
        <v>0</v>
      </c>
    </row>
    <row r="599" spans="35:42" x14ac:dyDescent="0.2">
      <c r="AI599">
        <v>4</v>
      </c>
      <c r="AJ599">
        <v>3</v>
      </c>
      <c r="AK599">
        <v>3</v>
      </c>
      <c r="AL599">
        <v>3</v>
      </c>
      <c r="AM599">
        <v>3</v>
      </c>
      <c r="AN599">
        <f t="shared" si="32"/>
        <v>324</v>
      </c>
      <c r="AO599" cm="1">
        <f t="array" ref="AO599">PRODUCT(_xlfn.XLOOKUP(AI599:AM599,$B$3:$B$6,$C$3:$C$6))</f>
        <v>0</v>
      </c>
      <c r="AP599">
        <f t="shared" si="33"/>
        <v>0</v>
      </c>
    </row>
    <row r="600" spans="35:42" x14ac:dyDescent="0.2">
      <c r="AI600">
        <v>4</v>
      </c>
      <c r="AJ600">
        <v>3</v>
      </c>
      <c r="AK600">
        <v>3</v>
      </c>
      <c r="AL600">
        <v>3</v>
      </c>
      <c r="AM600">
        <v>4</v>
      </c>
      <c r="AN600">
        <f t="shared" si="32"/>
        <v>432</v>
      </c>
      <c r="AO600" cm="1">
        <f t="array" ref="AO600">PRODUCT(_xlfn.XLOOKUP(AI600:AM600,$B$3:$B$6,$C$3:$C$6))</f>
        <v>0</v>
      </c>
      <c r="AP600">
        <f t="shared" si="33"/>
        <v>0</v>
      </c>
    </row>
    <row r="601" spans="35:42" x14ac:dyDescent="0.2">
      <c r="AI601">
        <v>4</v>
      </c>
      <c r="AJ601">
        <v>3</v>
      </c>
      <c r="AK601">
        <v>3</v>
      </c>
      <c r="AL601">
        <v>3</v>
      </c>
      <c r="AM601">
        <v>5</v>
      </c>
      <c r="AN601">
        <f t="shared" si="32"/>
        <v>540</v>
      </c>
      <c r="AO601" cm="1">
        <f t="array" ref="AO601">PRODUCT(_xlfn.XLOOKUP(AI601:AM601,$B$3:$B$6,$C$3:$C$6))</f>
        <v>0</v>
      </c>
      <c r="AP601">
        <f t="shared" si="33"/>
        <v>0</v>
      </c>
    </row>
    <row r="602" spans="35:42" x14ac:dyDescent="0.2">
      <c r="AI602">
        <v>4</v>
      </c>
      <c r="AJ602">
        <v>3</v>
      </c>
      <c r="AK602">
        <v>3</v>
      </c>
      <c r="AL602">
        <v>4</v>
      </c>
      <c r="AM602">
        <v>2</v>
      </c>
      <c r="AN602">
        <f t="shared" si="32"/>
        <v>288</v>
      </c>
      <c r="AO602" cm="1">
        <f t="array" ref="AO602">PRODUCT(_xlfn.XLOOKUP(AI602:AM602,$B$3:$B$6,$C$3:$C$6))</f>
        <v>0</v>
      </c>
      <c r="AP602">
        <f t="shared" si="33"/>
        <v>0</v>
      </c>
    </row>
    <row r="603" spans="35:42" x14ac:dyDescent="0.2">
      <c r="AI603">
        <v>4</v>
      </c>
      <c r="AJ603">
        <v>3</v>
      </c>
      <c r="AK603">
        <v>3</v>
      </c>
      <c r="AL603">
        <v>4</v>
      </c>
      <c r="AM603">
        <v>3</v>
      </c>
      <c r="AN603">
        <f t="shared" si="32"/>
        <v>432</v>
      </c>
      <c r="AO603" cm="1">
        <f t="array" ref="AO603">PRODUCT(_xlfn.XLOOKUP(AI603:AM603,$B$3:$B$6,$C$3:$C$6))</f>
        <v>0</v>
      </c>
      <c r="AP603">
        <f t="shared" si="33"/>
        <v>0</v>
      </c>
    </row>
    <row r="604" spans="35:42" x14ac:dyDescent="0.2">
      <c r="AI604">
        <v>4</v>
      </c>
      <c r="AJ604">
        <v>3</v>
      </c>
      <c r="AK604">
        <v>3</v>
      </c>
      <c r="AL604">
        <v>4</v>
      </c>
      <c r="AM604">
        <v>4</v>
      </c>
      <c r="AN604">
        <f t="shared" si="32"/>
        <v>576</v>
      </c>
      <c r="AO604" cm="1">
        <f t="array" ref="AO604">PRODUCT(_xlfn.XLOOKUP(AI604:AM604,$B$3:$B$6,$C$3:$C$6))</f>
        <v>0</v>
      </c>
      <c r="AP604">
        <f t="shared" si="33"/>
        <v>0</v>
      </c>
    </row>
    <row r="605" spans="35:42" x14ac:dyDescent="0.2">
      <c r="AI605">
        <v>4</v>
      </c>
      <c r="AJ605">
        <v>3</v>
      </c>
      <c r="AK605">
        <v>3</v>
      </c>
      <c r="AL605">
        <v>4</v>
      </c>
      <c r="AM605">
        <v>5</v>
      </c>
      <c r="AN605">
        <f t="shared" si="32"/>
        <v>720</v>
      </c>
      <c r="AO605" cm="1">
        <f t="array" ref="AO605">PRODUCT(_xlfn.XLOOKUP(AI605:AM605,$B$3:$B$6,$C$3:$C$6))</f>
        <v>0</v>
      </c>
      <c r="AP605">
        <f t="shared" si="33"/>
        <v>0</v>
      </c>
    </row>
    <row r="606" spans="35:42" x14ac:dyDescent="0.2">
      <c r="AI606">
        <v>4</v>
      </c>
      <c r="AJ606">
        <v>3</v>
      </c>
      <c r="AK606">
        <v>3</v>
      </c>
      <c r="AL606">
        <v>5</v>
      </c>
      <c r="AM606">
        <v>2</v>
      </c>
      <c r="AN606">
        <f t="shared" si="32"/>
        <v>360</v>
      </c>
      <c r="AO606" cm="1">
        <f t="array" ref="AO606">PRODUCT(_xlfn.XLOOKUP(AI606:AM606,$B$3:$B$6,$C$3:$C$6))</f>
        <v>0</v>
      </c>
      <c r="AP606">
        <f t="shared" si="33"/>
        <v>0</v>
      </c>
    </row>
    <row r="607" spans="35:42" x14ac:dyDescent="0.2">
      <c r="AI607">
        <v>4</v>
      </c>
      <c r="AJ607">
        <v>3</v>
      </c>
      <c r="AK607">
        <v>3</v>
      </c>
      <c r="AL607">
        <v>5</v>
      </c>
      <c r="AM607">
        <v>3</v>
      </c>
      <c r="AN607">
        <f t="shared" si="32"/>
        <v>540</v>
      </c>
      <c r="AO607" cm="1">
        <f t="array" ref="AO607">PRODUCT(_xlfn.XLOOKUP(AI607:AM607,$B$3:$B$6,$C$3:$C$6))</f>
        <v>0</v>
      </c>
      <c r="AP607">
        <f t="shared" si="33"/>
        <v>0</v>
      </c>
    </row>
    <row r="608" spans="35:42" x14ac:dyDescent="0.2">
      <c r="AI608">
        <v>4</v>
      </c>
      <c r="AJ608">
        <v>3</v>
      </c>
      <c r="AK608">
        <v>3</v>
      </c>
      <c r="AL608">
        <v>5</v>
      </c>
      <c r="AM608">
        <v>4</v>
      </c>
      <c r="AN608">
        <f t="shared" si="32"/>
        <v>720</v>
      </c>
      <c r="AO608" cm="1">
        <f t="array" ref="AO608">PRODUCT(_xlfn.XLOOKUP(AI608:AM608,$B$3:$B$6,$C$3:$C$6))</f>
        <v>0</v>
      </c>
      <c r="AP608">
        <f t="shared" si="33"/>
        <v>0</v>
      </c>
    </row>
    <row r="609" spans="35:42" x14ac:dyDescent="0.2">
      <c r="AI609">
        <v>4</v>
      </c>
      <c r="AJ609">
        <v>3</v>
      </c>
      <c r="AK609">
        <v>3</v>
      </c>
      <c r="AL609">
        <v>5</v>
      </c>
      <c r="AM609">
        <v>5</v>
      </c>
      <c r="AN609">
        <f t="shared" si="32"/>
        <v>900</v>
      </c>
      <c r="AO609" cm="1">
        <f t="array" ref="AO609">PRODUCT(_xlfn.XLOOKUP(AI609:AM609,$B$3:$B$6,$C$3:$C$6))</f>
        <v>0</v>
      </c>
      <c r="AP609">
        <f t="shared" si="33"/>
        <v>0</v>
      </c>
    </row>
    <row r="610" spans="35:42" x14ac:dyDescent="0.2">
      <c r="AI610">
        <v>4</v>
      </c>
      <c r="AJ610">
        <v>3</v>
      </c>
      <c r="AK610">
        <v>4</v>
      </c>
      <c r="AL610">
        <v>2</v>
      </c>
      <c r="AM610">
        <v>2</v>
      </c>
      <c r="AN610">
        <f t="shared" si="32"/>
        <v>192</v>
      </c>
      <c r="AO610" cm="1">
        <f t="array" ref="AO610">PRODUCT(_xlfn.XLOOKUP(AI610:AM610,$B$3:$B$6,$C$3:$C$6))</f>
        <v>0</v>
      </c>
      <c r="AP610">
        <f t="shared" si="33"/>
        <v>0</v>
      </c>
    </row>
    <row r="611" spans="35:42" x14ac:dyDescent="0.2">
      <c r="AI611">
        <v>4</v>
      </c>
      <c r="AJ611">
        <v>3</v>
      </c>
      <c r="AK611">
        <v>4</v>
      </c>
      <c r="AL611">
        <v>2</v>
      </c>
      <c r="AM611">
        <v>3</v>
      </c>
      <c r="AN611">
        <f t="shared" si="32"/>
        <v>288</v>
      </c>
      <c r="AO611" cm="1">
        <f t="array" ref="AO611">PRODUCT(_xlfn.XLOOKUP(AI611:AM611,$B$3:$B$6,$C$3:$C$6))</f>
        <v>0</v>
      </c>
      <c r="AP611">
        <f t="shared" si="33"/>
        <v>0</v>
      </c>
    </row>
    <row r="612" spans="35:42" x14ac:dyDescent="0.2">
      <c r="AI612">
        <v>4</v>
      </c>
      <c r="AJ612">
        <v>3</v>
      </c>
      <c r="AK612">
        <v>4</v>
      </c>
      <c r="AL612">
        <v>2</v>
      </c>
      <c r="AM612">
        <v>4</v>
      </c>
      <c r="AN612">
        <f t="shared" si="32"/>
        <v>384</v>
      </c>
      <c r="AO612" cm="1">
        <f t="array" ref="AO612">PRODUCT(_xlfn.XLOOKUP(AI612:AM612,$B$3:$B$6,$C$3:$C$6))</f>
        <v>0</v>
      </c>
      <c r="AP612">
        <f t="shared" si="33"/>
        <v>0</v>
      </c>
    </row>
    <row r="613" spans="35:42" x14ac:dyDescent="0.2">
      <c r="AI613">
        <v>4</v>
      </c>
      <c r="AJ613">
        <v>3</v>
      </c>
      <c r="AK613">
        <v>4</v>
      </c>
      <c r="AL613">
        <v>2</v>
      </c>
      <c r="AM613">
        <v>5</v>
      </c>
      <c r="AN613">
        <f t="shared" si="32"/>
        <v>480</v>
      </c>
      <c r="AO613" cm="1">
        <f t="array" ref="AO613">PRODUCT(_xlfn.XLOOKUP(AI613:AM613,$B$3:$B$6,$C$3:$C$6))</f>
        <v>0</v>
      </c>
      <c r="AP613">
        <f t="shared" si="33"/>
        <v>0</v>
      </c>
    </row>
    <row r="614" spans="35:42" x14ac:dyDescent="0.2">
      <c r="AI614">
        <v>4</v>
      </c>
      <c r="AJ614">
        <v>3</v>
      </c>
      <c r="AK614">
        <v>4</v>
      </c>
      <c r="AL614">
        <v>3</v>
      </c>
      <c r="AM614">
        <v>2</v>
      </c>
      <c r="AN614">
        <f t="shared" si="32"/>
        <v>288</v>
      </c>
      <c r="AO614" cm="1">
        <f t="array" ref="AO614">PRODUCT(_xlfn.XLOOKUP(AI614:AM614,$B$3:$B$6,$C$3:$C$6))</f>
        <v>0</v>
      </c>
      <c r="AP614">
        <f t="shared" si="33"/>
        <v>0</v>
      </c>
    </row>
    <row r="615" spans="35:42" x14ac:dyDescent="0.2">
      <c r="AI615">
        <v>4</v>
      </c>
      <c r="AJ615">
        <v>3</v>
      </c>
      <c r="AK615">
        <v>4</v>
      </c>
      <c r="AL615">
        <v>3</v>
      </c>
      <c r="AM615">
        <v>3</v>
      </c>
      <c r="AN615">
        <f t="shared" si="32"/>
        <v>432</v>
      </c>
      <c r="AO615" cm="1">
        <f t="array" ref="AO615">PRODUCT(_xlfn.XLOOKUP(AI615:AM615,$B$3:$B$6,$C$3:$C$6))</f>
        <v>0</v>
      </c>
      <c r="AP615">
        <f t="shared" si="33"/>
        <v>0</v>
      </c>
    </row>
    <row r="616" spans="35:42" x14ac:dyDescent="0.2">
      <c r="AI616">
        <v>4</v>
      </c>
      <c r="AJ616">
        <v>3</v>
      </c>
      <c r="AK616">
        <v>4</v>
      </c>
      <c r="AL616">
        <v>3</v>
      </c>
      <c r="AM616">
        <v>4</v>
      </c>
      <c r="AN616">
        <f t="shared" si="32"/>
        <v>576</v>
      </c>
      <c r="AO616" cm="1">
        <f t="array" ref="AO616">PRODUCT(_xlfn.XLOOKUP(AI616:AM616,$B$3:$B$6,$C$3:$C$6))</f>
        <v>0</v>
      </c>
      <c r="AP616">
        <f t="shared" si="33"/>
        <v>0</v>
      </c>
    </row>
    <row r="617" spans="35:42" x14ac:dyDescent="0.2">
      <c r="AI617">
        <v>4</v>
      </c>
      <c r="AJ617">
        <v>3</v>
      </c>
      <c r="AK617">
        <v>4</v>
      </c>
      <c r="AL617">
        <v>3</v>
      </c>
      <c r="AM617">
        <v>5</v>
      </c>
      <c r="AN617">
        <f t="shared" si="32"/>
        <v>720</v>
      </c>
      <c r="AO617" cm="1">
        <f t="array" ref="AO617">PRODUCT(_xlfn.XLOOKUP(AI617:AM617,$B$3:$B$6,$C$3:$C$6))</f>
        <v>0</v>
      </c>
      <c r="AP617">
        <f t="shared" si="33"/>
        <v>0</v>
      </c>
    </row>
    <row r="618" spans="35:42" x14ac:dyDescent="0.2">
      <c r="AI618">
        <v>4</v>
      </c>
      <c r="AJ618">
        <v>3</v>
      </c>
      <c r="AK618">
        <v>4</v>
      </c>
      <c r="AL618">
        <v>4</v>
      </c>
      <c r="AM618">
        <v>2</v>
      </c>
      <c r="AN618">
        <f t="shared" si="32"/>
        <v>384</v>
      </c>
      <c r="AO618" cm="1">
        <f t="array" ref="AO618">PRODUCT(_xlfn.XLOOKUP(AI618:AM618,$B$3:$B$6,$C$3:$C$6))</f>
        <v>0</v>
      </c>
      <c r="AP618">
        <f t="shared" si="33"/>
        <v>0</v>
      </c>
    </row>
    <row r="619" spans="35:42" x14ac:dyDescent="0.2">
      <c r="AI619">
        <v>4</v>
      </c>
      <c r="AJ619">
        <v>3</v>
      </c>
      <c r="AK619">
        <v>4</v>
      </c>
      <c r="AL619">
        <v>4</v>
      </c>
      <c r="AM619">
        <v>3</v>
      </c>
      <c r="AN619">
        <f t="shared" si="32"/>
        <v>576</v>
      </c>
      <c r="AO619" cm="1">
        <f t="array" ref="AO619">PRODUCT(_xlfn.XLOOKUP(AI619:AM619,$B$3:$B$6,$C$3:$C$6))</f>
        <v>0</v>
      </c>
      <c r="AP619">
        <f t="shared" si="33"/>
        <v>0</v>
      </c>
    </row>
    <row r="620" spans="35:42" x14ac:dyDescent="0.2">
      <c r="AI620">
        <v>4</v>
      </c>
      <c r="AJ620">
        <v>3</v>
      </c>
      <c r="AK620">
        <v>4</v>
      </c>
      <c r="AL620">
        <v>4</v>
      </c>
      <c r="AM620">
        <v>4</v>
      </c>
      <c r="AN620">
        <f t="shared" si="32"/>
        <v>768</v>
      </c>
      <c r="AO620" cm="1">
        <f t="array" ref="AO620">PRODUCT(_xlfn.XLOOKUP(AI620:AM620,$B$3:$B$6,$C$3:$C$6))</f>
        <v>0</v>
      </c>
      <c r="AP620">
        <f t="shared" si="33"/>
        <v>0</v>
      </c>
    </row>
    <row r="621" spans="35:42" x14ac:dyDescent="0.2">
      <c r="AI621">
        <v>4</v>
      </c>
      <c r="AJ621">
        <v>3</v>
      </c>
      <c r="AK621">
        <v>4</v>
      </c>
      <c r="AL621">
        <v>4</v>
      </c>
      <c r="AM621">
        <v>5</v>
      </c>
      <c r="AN621">
        <f t="shared" si="32"/>
        <v>960</v>
      </c>
      <c r="AO621" cm="1">
        <f t="array" ref="AO621">PRODUCT(_xlfn.XLOOKUP(AI621:AM621,$B$3:$B$6,$C$3:$C$6))</f>
        <v>0</v>
      </c>
      <c r="AP621">
        <f t="shared" si="33"/>
        <v>0</v>
      </c>
    </row>
    <row r="622" spans="35:42" x14ac:dyDescent="0.2">
      <c r="AI622">
        <v>4</v>
      </c>
      <c r="AJ622">
        <v>3</v>
      </c>
      <c r="AK622">
        <v>4</v>
      </c>
      <c r="AL622">
        <v>5</v>
      </c>
      <c r="AM622">
        <v>2</v>
      </c>
      <c r="AN622">
        <f t="shared" si="32"/>
        <v>480</v>
      </c>
      <c r="AO622" cm="1">
        <f t="array" ref="AO622">PRODUCT(_xlfn.XLOOKUP(AI622:AM622,$B$3:$B$6,$C$3:$C$6))</f>
        <v>0</v>
      </c>
      <c r="AP622">
        <f t="shared" si="33"/>
        <v>0</v>
      </c>
    </row>
    <row r="623" spans="35:42" x14ac:dyDescent="0.2">
      <c r="AI623">
        <v>4</v>
      </c>
      <c r="AJ623">
        <v>3</v>
      </c>
      <c r="AK623">
        <v>4</v>
      </c>
      <c r="AL623">
        <v>5</v>
      </c>
      <c r="AM623">
        <v>3</v>
      </c>
      <c r="AN623">
        <f t="shared" si="32"/>
        <v>720</v>
      </c>
      <c r="AO623" cm="1">
        <f t="array" ref="AO623">PRODUCT(_xlfn.XLOOKUP(AI623:AM623,$B$3:$B$6,$C$3:$C$6))</f>
        <v>0</v>
      </c>
      <c r="AP623">
        <f t="shared" si="33"/>
        <v>0</v>
      </c>
    </row>
    <row r="624" spans="35:42" x14ac:dyDescent="0.2">
      <c r="AI624">
        <v>4</v>
      </c>
      <c r="AJ624">
        <v>3</v>
      </c>
      <c r="AK624">
        <v>4</v>
      </c>
      <c r="AL624">
        <v>5</v>
      </c>
      <c r="AM624">
        <v>4</v>
      </c>
      <c r="AN624">
        <f t="shared" si="32"/>
        <v>960</v>
      </c>
      <c r="AO624" cm="1">
        <f t="array" ref="AO624">PRODUCT(_xlfn.XLOOKUP(AI624:AM624,$B$3:$B$6,$C$3:$C$6))</f>
        <v>0</v>
      </c>
      <c r="AP624">
        <f t="shared" si="33"/>
        <v>0</v>
      </c>
    </row>
    <row r="625" spans="35:42" x14ac:dyDescent="0.2">
      <c r="AI625">
        <v>4</v>
      </c>
      <c r="AJ625">
        <v>3</v>
      </c>
      <c r="AK625">
        <v>4</v>
      </c>
      <c r="AL625">
        <v>5</v>
      </c>
      <c r="AM625">
        <v>5</v>
      </c>
      <c r="AN625">
        <f t="shared" si="32"/>
        <v>1200</v>
      </c>
      <c r="AO625" cm="1">
        <f t="array" ref="AO625">PRODUCT(_xlfn.XLOOKUP(AI625:AM625,$B$3:$B$6,$C$3:$C$6))</f>
        <v>0</v>
      </c>
      <c r="AP625">
        <f t="shared" si="33"/>
        <v>0</v>
      </c>
    </row>
    <row r="626" spans="35:42" x14ac:dyDescent="0.2">
      <c r="AI626">
        <v>4</v>
      </c>
      <c r="AJ626">
        <v>3</v>
      </c>
      <c r="AK626">
        <v>5</v>
      </c>
      <c r="AL626">
        <v>2</v>
      </c>
      <c r="AM626">
        <v>2</v>
      </c>
      <c r="AN626">
        <f t="shared" si="32"/>
        <v>240</v>
      </c>
      <c r="AO626" cm="1">
        <f t="array" ref="AO626">PRODUCT(_xlfn.XLOOKUP(AI626:AM626,$B$3:$B$6,$C$3:$C$6))</f>
        <v>0</v>
      </c>
      <c r="AP626">
        <f t="shared" si="33"/>
        <v>0</v>
      </c>
    </row>
    <row r="627" spans="35:42" x14ac:dyDescent="0.2">
      <c r="AI627">
        <v>4</v>
      </c>
      <c r="AJ627">
        <v>3</v>
      </c>
      <c r="AK627">
        <v>5</v>
      </c>
      <c r="AL627">
        <v>2</v>
      </c>
      <c r="AM627">
        <v>3</v>
      </c>
      <c r="AN627">
        <f t="shared" si="32"/>
        <v>360</v>
      </c>
      <c r="AO627" cm="1">
        <f t="array" ref="AO627">PRODUCT(_xlfn.XLOOKUP(AI627:AM627,$B$3:$B$6,$C$3:$C$6))</f>
        <v>0</v>
      </c>
      <c r="AP627">
        <f t="shared" si="33"/>
        <v>0</v>
      </c>
    </row>
    <row r="628" spans="35:42" x14ac:dyDescent="0.2">
      <c r="AI628">
        <v>4</v>
      </c>
      <c r="AJ628">
        <v>3</v>
      </c>
      <c r="AK628">
        <v>5</v>
      </c>
      <c r="AL628">
        <v>2</v>
      </c>
      <c r="AM628">
        <v>4</v>
      </c>
      <c r="AN628">
        <f t="shared" si="32"/>
        <v>480</v>
      </c>
      <c r="AO628" cm="1">
        <f t="array" ref="AO628">PRODUCT(_xlfn.XLOOKUP(AI628:AM628,$B$3:$B$6,$C$3:$C$6))</f>
        <v>0</v>
      </c>
      <c r="AP628">
        <f t="shared" si="33"/>
        <v>0</v>
      </c>
    </row>
    <row r="629" spans="35:42" x14ac:dyDescent="0.2">
      <c r="AI629">
        <v>4</v>
      </c>
      <c r="AJ629">
        <v>3</v>
      </c>
      <c r="AK629">
        <v>5</v>
      </c>
      <c r="AL629">
        <v>2</v>
      </c>
      <c r="AM629">
        <v>5</v>
      </c>
      <c r="AN629">
        <f t="shared" si="32"/>
        <v>600</v>
      </c>
      <c r="AO629" cm="1">
        <f t="array" ref="AO629">PRODUCT(_xlfn.XLOOKUP(AI629:AM629,$B$3:$B$6,$C$3:$C$6))</f>
        <v>0</v>
      </c>
      <c r="AP629">
        <f t="shared" si="33"/>
        <v>0</v>
      </c>
    </row>
    <row r="630" spans="35:42" x14ac:dyDescent="0.2">
      <c r="AI630">
        <v>4</v>
      </c>
      <c r="AJ630">
        <v>3</v>
      </c>
      <c r="AK630">
        <v>5</v>
      </c>
      <c r="AL630">
        <v>3</v>
      </c>
      <c r="AM630">
        <v>2</v>
      </c>
      <c r="AN630">
        <f t="shared" si="32"/>
        <v>360</v>
      </c>
      <c r="AO630" cm="1">
        <f t="array" ref="AO630">PRODUCT(_xlfn.XLOOKUP(AI630:AM630,$B$3:$B$6,$C$3:$C$6))</f>
        <v>0</v>
      </c>
      <c r="AP630">
        <f t="shared" si="33"/>
        <v>0</v>
      </c>
    </row>
    <row r="631" spans="35:42" x14ac:dyDescent="0.2">
      <c r="AI631">
        <v>4</v>
      </c>
      <c r="AJ631">
        <v>3</v>
      </c>
      <c r="AK631">
        <v>5</v>
      </c>
      <c r="AL631">
        <v>3</v>
      </c>
      <c r="AM631">
        <v>3</v>
      </c>
      <c r="AN631">
        <f t="shared" si="32"/>
        <v>540</v>
      </c>
      <c r="AO631" cm="1">
        <f t="array" ref="AO631">PRODUCT(_xlfn.XLOOKUP(AI631:AM631,$B$3:$B$6,$C$3:$C$6))</f>
        <v>0</v>
      </c>
      <c r="AP631">
        <f t="shared" si="33"/>
        <v>0</v>
      </c>
    </row>
    <row r="632" spans="35:42" x14ac:dyDescent="0.2">
      <c r="AI632">
        <v>4</v>
      </c>
      <c r="AJ632">
        <v>3</v>
      </c>
      <c r="AK632">
        <v>5</v>
      </c>
      <c r="AL632">
        <v>3</v>
      </c>
      <c r="AM632">
        <v>4</v>
      </c>
      <c r="AN632">
        <f t="shared" si="32"/>
        <v>720</v>
      </c>
      <c r="AO632" cm="1">
        <f t="array" ref="AO632">PRODUCT(_xlfn.XLOOKUP(AI632:AM632,$B$3:$B$6,$C$3:$C$6))</f>
        <v>0</v>
      </c>
      <c r="AP632">
        <f t="shared" si="33"/>
        <v>0</v>
      </c>
    </row>
    <row r="633" spans="35:42" x14ac:dyDescent="0.2">
      <c r="AI633">
        <v>4</v>
      </c>
      <c r="AJ633">
        <v>3</v>
      </c>
      <c r="AK633">
        <v>5</v>
      </c>
      <c r="AL633">
        <v>3</v>
      </c>
      <c r="AM633">
        <v>5</v>
      </c>
      <c r="AN633">
        <f t="shared" si="32"/>
        <v>900</v>
      </c>
      <c r="AO633" cm="1">
        <f t="array" ref="AO633">PRODUCT(_xlfn.XLOOKUP(AI633:AM633,$B$3:$B$6,$C$3:$C$6))</f>
        <v>0</v>
      </c>
      <c r="AP633">
        <f t="shared" si="33"/>
        <v>0</v>
      </c>
    </row>
    <row r="634" spans="35:42" x14ac:dyDescent="0.2">
      <c r="AI634">
        <v>4</v>
      </c>
      <c r="AJ634">
        <v>3</v>
      </c>
      <c r="AK634">
        <v>5</v>
      </c>
      <c r="AL634">
        <v>4</v>
      </c>
      <c r="AM634">
        <v>2</v>
      </c>
      <c r="AN634">
        <f t="shared" si="32"/>
        <v>480</v>
      </c>
      <c r="AO634" cm="1">
        <f t="array" ref="AO634">PRODUCT(_xlfn.XLOOKUP(AI634:AM634,$B$3:$B$6,$C$3:$C$6))</f>
        <v>0</v>
      </c>
      <c r="AP634">
        <f t="shared" si="33"/>
        <v>0</v>
      </c>
    </row>
    <row r="635" spans="35:42" x14ac:dyDescent="0.2">
      <c r="AI635">
        <v>4</v>
      </c>
      <c r="AJ635">
        <v>3</v>
      </c>
      <c r="AK635">
        <v>5</v>
      </c>
      <c r="AL635">
        <v>4</v>
      </c>
      <c r="AM635">
        <v>3</v>
      </c>
      <c r="AN635">
        <f t="shared" si="32"/>
        <v>720</v>
      </c>
      <c r="AO635" cm="1">
        <f t="array" ref="AO635">PRODUCT(_xlfn.XLOOKUP(AI635:AM635,$B$3:$B$6,$C$3:$C$6))</f>
        <v>0</v>
      </c>
      <c r="AP635">
        <f t="shared" si="33"/>
        <v>0</v>
      </c>
    </row>
    <row r="636" spans="35:42" x14ac:dyDescent="0.2">
      <c r="AI636">
        <v>4</v>
      </c>
      <c r="AJ636">
        <v>3</v>
      </c>
      <c r="AK636">
        <v>5</v>
      </c>
      <c r="AL636">
        <v>4</v>
      </c>
      <c r="AM636">
        <v>4</v>
      </c>
      <c r="AN636">
        <f t="shared" si="32"/>
        <v>960</v>
      </c>
      <c r="AO636" cm="1">
        <f t="array" ref="AO636">PRODUCT(_xlfn.XLOOKUP(AI636:AM636,$B$3:$B$6,$C$3:$C$6))</f>
        <v>0</v>
      </c>
      <c r="AP636">
        <f t="shared" si="33"/>
        <v>0</v>
      </c>
    </row>
    <row r="637" spans="35:42" x14ac:dyDescent="0.2">
      <c r="AI637">
        <v>4</v>
      </c>
      <c r="AJ637">
        <v>3</v>
      </c>
      <c r="AK637">
        <v>5</v>
      </c>
      <c r="AL637">
        <v>4</v>
      </c>
      <c r="AM637">
        <v>5</v>
      </c>
      <c r="AN637">
        <f t="shared" si="32"/>
        <v>1200</v>
      </c>
      <c r="AO637" cm="1">
        <f t="array" ref="AO637">PRODUCT(_xlfn.XLOOKUP(AI637:AM637,$B$3:$B$6,$C$3:$C$6))</f>
        <v>0</v>
      </c>
      <c r="AP637">
        <f t="shared" si="33"/>
        <v>0</v>
      </c>
    </row>
    <row r="638" spans="35:42" x14ac:dyDescent="0.2">
      <c r="AI638">
        <v>4</v>
      </c>
      <c r="AJ638">
        <v>3</v>
      </c>
      <c r="AK638">
        <v>5</v>
      </c>
      <c r="AL638">
        <v>5</v>
      </c>
      <c r="AM638">
        <v>2</v>
      </c>
      <c r="AN638">
        <f t="shared" si="32"/>
        <v>600</v>
      </c>
      <c r="AO638" cm="1">
        <f t="array" ref="AO638">PRODUCT(_xlfn.XLOOKUP(AI638:AM638,$B$3:$B$6,$C$3:$C$6))</f>
        <v>0</v>
      </c>
      <c r="AP638">
        <f t="shared" si="33"/>
        <v>0</v>
      </c>
    </row>
    <row r="639" spans="35:42" x14ac:dyDescent="0.2">
      <c r="AI639">
        <v>4</v>
      </c>
      <c r="AJ639">
        <v>3</v>
      </c>
      <c r="AK639">
        <v>5</v>
      </c>
      <c r="AL639">
        <v>5</v>
      </c>
      <c r="AM639">
        <v>3</v>
      </c>
      <c r="AN639">
        <f t="shared" si="32"/>
        <v>900</v>
      </c>
      <c r="AO639" cm="1">
        <f t="array" ref="AO639">PRODUCT(_xlfn.XLOOKUP(AI639:AM639,$B$3:$B$6,$C$3:$C$6))</f>
        <v>0</v>
      </c>
      <c r="AP639">
        <f t="shared" si="33"/>
        <v>0</v>
      </c>
    </row>
    <row r="640" spans="35:42" x14ac:dyDescent="0.2">
      <c r="AI640">
        <v>4</v>
      </c>
      <c r="AJ640">
        <v>3</v>
      </c>
      <c r="AK640">
        <v>5</v>
      </c>
      <c r="AL640">
        <v>5</v>
      </c>
      <c r="AM640">
        <v>4</v>
      </c>
      <c r="AN640">
        <f t="shared" si="32"/>
        <v>1200</v>
      </c>
      <c r="AO640" cm="1">
        <f t="array" ref="AO640">PRODUCT(_xlfn.XLOOKUP(AI640:AM640,$B$3:$B$6,$C$3:$C$6))</f>
        <v>0</v>
      </c>
      <c r="AP640">
        <f t="shared" si="33"/>
        <v>0</v>
      </c>
    </row>
    <row r="641" spans="35:42" x14ac:dyDescent="0.2">
      <c r="AI641">
        <v>4</v>
      </c>
      <c r="AJ641">
        <v>3</v>
      </c>
      <c r="AK641">
        <v>5</v>
      </c>
      <c r="AL641">
        <v>5</v>
      </c>
      <c r="AM641">
        <v>5</v>
      </c>
      <c r="AN641">
        <f t="shared" si="32"/>
        <v>1500</v>
      </c>
      <c r="AO641" cm="1">
        <f t="array" ref="AO641">PRODUCT(_xlfn.XLOOKUP(AI641:AM641,$B$3:$B$6,$C$3:$C$6))</f>
        <v>0</v>
      </c>
      <c r="AP641">
        <f t="shared" si="33"/>
        <v>0</v>
      </c>
    </row>
    <row r="642" spans="35:42" x14ac:dyDescent="0.2">
      <c r="AI642">
        <v>4</v>
      </c>
      <c r="AJ642">
        <v>4</v>
      </c>
      <c r="AK642">
        <v>2</v>
      </c>
      <c r="AL642">
        <v>2</v>
      </c>
      <c r="AM642">
        <v>2</v>
      </c>
      <c r="AN642">
        <f t="shared" si="32"/>
        <v>128</v>
      </c>
      <c r="AO642" cm="1">
        <f t="array" ref="AO642">PRODUCT(_xlfn.XLOOKUP(AI642:AM642,$B$3:$B$6,$C$3:$C$6))</f>
        <v>0</v>
      </c>
      <c r="AP642">
        <f t="shared" si="33"/>
        <v>0</v>
      </c>
    </row>
    <row r="643" spans="35:42" x14ac:dyDescent="0.2">
      <c r="AI643">
        <v>4</v>
      </c>
      <c r="AJ643">
        <v>4</v>
      </c>
      <c r="AK643">
        <v>2</v>
      </c>
      <c r="AL643">
        <v>2</v>
      </c>
      <c r="AM643">
        <v>3</v>
      </c>
      <c r="AN643">
        <f t="shared" ref="AN643:AN706" si="34">PRODUCT(AI643:AM643)</f>
        <v>192</v>
      </c>
      <c r="AO643" cm="1">
        <f t="array" ref="AO643">PRODUCT(_xlfn.XLOOKUP(AI643:AM643,$B$3:$B$6,$C$3:$C$6))</f>
        <v>0</v>
      </c>
      <c r="AP643">
        <f t="shared" ref="AP643:AP706" si="35">AN643*AO643</f>
        <v>0</v>
      </c>
    </row>
    <row r="644" spans="35:42" x14ac:dyDescent="0.2">
      <c r="AI644">
        <v>4</v>
      </c>
      <c r="AJ644">
        <v>4</v>
      </c>
      <c r="AK644">
        <v>2</v>
      </c>
      <c r="AL644">
        <v>2</v>
      </c>
      <c r="AM644">
        <v>4</v>
      </c>
      <c r="AN644">
        <f t="shared" si="34"/>
        <v>256</v>
      </c>
      <c r="AO644" cm="1">
        <f t="array" ref="AO644">PRODUCT(_xlfn.XLOOKUP(AI644:AM644,$B$3:$B$6,$C$3:$C$6))</f>
        <v>0</v>
      </c>
      <c r="AP644">
        <f t="shared" si="35"/>
        <v>0</v>
      </c>
    </row>
    <row r="645" spans="35:42" x14ac:dyDescent="0.2">
      <c r="AI645">
        <v>4</v>
      </c>
      <c r="AJ645">
        <v>4</v>
      </c>
      <c r="AK645">
        <v>2</v>
      </c>
      <c r="AL645">
        <v>2</v>
      </c>
      <c r="AM645">
        <v>5</v>
      </c>
      <c r="AN645">
        <f t="shared" si="34"/>
        <v>320</v>
      </c>
      <c r="AO645" cm="1">
        <f t="array" ref="AO645">PRODUCT(_xlfn.XLOOKUP(AI645:AM645,$B$3:$B$6,$C$3:$C$6))</f>
        <v>0</v>
      </c>
      <c r="AP645">
        <f t="shared" si="35"/>
        <v>0</v>
      </c>
    </row>
    <row r="646" spans="35:42" x14ac:dyDescent="0.2">
      <c r="AI646">
        <v>4</v>
      </c>
      <c r="AJ646">
        <v>4</v>
      </c>
      <c r="AK646">
        <v>2</v>
      </c>
      <c r="AL646">
        <v>3</v>
      </c>
      <c r="AM646">
        <v>2</v>
      </c>
      <c r="AN646">
        <f t="shared" si="34"/>
        <v>192</v>
      </c>
      <c r="AO646" cm="1">
        <f t="array" ref="AO646">PRODUCT(_xlfn.XLOOKUP(AI646:AM646,$B$3:$B$6,$C$3:$C$6))</f>
        <v>0</v>
      </c>
      <c r="AP646">
        <f t="shared" si="35"/>
        <v>0</v>
      </c>
    </row>
    <row r="647" spans="35:42" x14ac:dyDescent="0.2">
      <c r="AI647">
        <v>4</v>
      </c>
      <c r="AJ647">
        <v>4</v>
      </c>
      <c r="AK647">
        <v>2</v>
      </c>
      <c r="AL647">
        <v>3</v>
      </c>
      <c r="AM647">
        <v>3</v>
      </c>
      <c r="AN647">
        <f t="shared" si="34"/>
        <v>288</v>
      </c>
      <c r="AO647" cm="1">
        <f t="array" ref="AO647">PRODUCT(_xlfn.XLOOKUP(AI647:AM647,$B$3:$B$6,$C$3:$C$6))</f>
        <v>0</v>
      </c>
      <c r="AP647">
        <f t="shared" si="35"/>
        <v>0</v>
      </c>
    </row>
    <row r="648" spans="35:42" x14ac:dyDescent="0.2">
      <c r="AI648">
        <v>4</v>
      </c>
      <c r="AJ648">
        <v>4</v>
      </c>
      <c r="AK648">
        <v>2</v>
      </c>
      <c r="AL648">
        <v>3</v>
      </c>
      <c r="AM648">
        <v>4</v>
      </c>
      <c r="AN648">
        <f t="shared" si="34"/>
        <v>384</v>
      </c>
      <c r="AO648" cm="1">
        <f t="array" ref="AO648">PRODUCT(_xlfn.XLOOKUP(AI648:AM648,$B$3:$B$6,$C$3:$C$6))</f>
        <v>0</v>
      </c>
      <c r="AP648">
        <f t="shared" si="35"/>
        <v>0</v>
      </c>
    </row>
    <row r="649" spans="35:42" x14ac:dyDescent="0.2">
      <c r="AI649">
        <v>4</v>
      </c>
      <c r="AJ649">
        <v>4</v>
      </c>
      <c r="AK649">
        <v>2</v>
      </c>
      <c r="AL649">
        <v>3</v>
      </c>
      <c r="AM649">
        <v>5</v>
      </c>
      <c r="AN649">
        <f t="shared" si="34"/>
        <v>480</v>
      </c>
      <c r="AO649" cm="1">
        <f t="array" ref="AO649">PRODUCT(_xlfn.XLOOKUP(AI649:AM649,$B$3:$B$6,$C$3:$C$6))</f>
        <v>0</v>
      </c>
      <c r="AP649">
        <f t="shared" si="35"/>
        <v>0</v>
      </c>
    </row>
    <row r="650" spans="35:42" x14ac:dyDescent="0.2">
      <c r="AI650">
        <v>4</v>
      </c>
      <c r="AJ650">
        <v>4</v>
      </c>
      <c r="AK650">
        <v>2</v>
      </c>
      <c r="AL650">
        <v>4</v>
      </c>
      <c r="AM650">
        <v>2</v>
      </c>
      <c r="AN650">
        <f t="shared" si="34"/>
        <v>256</v>
      </c>
      <c r="AO650" cm="1">
        <f t="array" ref="AO650">PRODUCT(_xlfn.XLOOKUP(AI650:AM650,$B$3:$B$6,$C$3:$C$6))</f>
        <v>0</v>
      </c>
      <c r="AP650">
        <f t="shared" si="35"/>
        <v>0</v>
      </c>
    </row>
    <row r="651" spans="35:42" x14ac:dyDescent="0.2">
      <c r="AI651">
        <v>4</v>
      </c>
      <c r="AJ651">
        <v>4</v>
      </c>
      <c r="AK651">
        <v>2</v>
      </c>
      <c r="AL651">
        <v>4</v>
      </c>
      <c r="AM651">
        <v>3</v>
      </c>
      <c r="AN651">
        <f t="shared" si="34"/>
        <v>384</v>
      </c>
      <c r="AO651" cm="1">
        <f t="array" ref="AO651">PRODUCT(_xlfn.XLOOKUP(AI651:AM651,$B$3:$B$6,$C$3:$C$6))</f>
        <v>0</v>
      </c>
      <c r="AP651">
        <f t="shared" si="35"/>
        <v>0</v>
      </c>
    </row>
    <row r="652" spans="35:42" x14ac:dyDescent="0.2">
      <c r="AI652">
        <v>4</v>
      </c>
      <c r="AJ652">
        <v>4</v>
      </c>
      <c r="AK652">
        <v>2</v>
      </c>
      <c r="AL652">
        <v>4</v>
      </c>
      <c r="AM652">
        <v>4</v>
      </c>
      <c r="AN652">
        <f t="shared" si="34"/>
        <v>512</v>
      </c>
      <c r="AO652" cm="1">
        <f t="array" ref="AO652">PRODUCT(_xlfn.XLOOKUP(AI652:AM652,$B$3:$B$6,$C$3:$C$6))</f>
        <v>0</v>
      </c>
      <c r="AP652">
        <f t="shared" si="35"/>
        <v>0</v>
      </c>
    </row>
    <row r="653" spans="35:42" x14ac:dyDescent="0.2">
      <c r="AI653">
        <v>4</v>
      </c>
      <c r="AJ653">
        <v>4</v>
      </c>
      <c r="AK653">
        <v>2</v>
      </c>
      <c r="AL653">
        <v>4</v>
      </c>
      <c r="AM653">
        <v>5</v>
      </c>
      <c r="AN653">
        <f t="shared" si="34"/>
        <v>640</v>
      </c>
      <c r="AO653" cm="1">
        <f t="array" ref="AO653">PRODUCT(_xlfn.XLOOKUP(AI653:AM653,$B$3:$B$6,$C$3:$C$6))</f>
        <v>0</v>
      </c>
      <c r="AP653">
        <f t="shared" si="35"/>
        <v>0</v>
      </c>
    </row>
    <row r="654" spans="35:42" x14ac:dyDescent="0.2">
      <c r="AI654">
        <v>4</v>
      </c>
      <c r="AJ654">
        <v>4</v>
      </c>
      <c r="AK654">
        <v>2</v>
      </c>
      <c r="AL654">
        <v>5</v>
      </c>
      <c r="AM654">
        <v>2</v>
      </c>
      <c r="AN654">
        <f t="shared" si="34"/>
        <v>320</v>
      </c>
      <c r="AO654" cm="1">
        <f t="array" ref="AO654">PRODUCT(_xlfn.XLOOKUP(AI654:AM654,$B$3:$B$6,$C$3:$C$6))</f>
        <v>0</v>
      </c>
      <c r="AP654">
        <f t="shared" si="35"/>
        <v>0</v>
      </c>
    </row>
    <row r="655" spans="35:42" x14ac:dyDescent="0.2">
      <c r="AI655">
        <v>4</v>
      </c>
      <c r="AJ655">
        <v>4</v>
      </c>
      <c r="AK655">
        <v>2</v>
      </c>
      <c r="AL655">
        <v>5</v>
      </c>
      <c r="AM655">
        <v>3</v>
      </c>
      <c r="AN655">
        <f t="shared" si="34"/>
        <v>480</v>
      </c>
      <c r="AO655" cm="1">
        <f t="array" ref="AO655">PRODUCT(_xlfn.XLOOKUP(AI655:AM655,$B$3:$B$6,$C$3:$C$6))</f>
        <v>0</v>
      </c>
      <c r="AP655">
        <f t="shared" si="35"/>
        <v>0</v>
      </c>
    </row>
    <row r="656" spans="35:42" x14ac:dyDescent="0.2">
      <c r="AI656">
        <v>4</v>
      </c>
      <c r="AJ656">
        <v>4</v>
      </c>
      <c r="AK656">
        <v>2</v>
      </c>
      <c r="AL656">
        <v>5</v>
      </c>
      <c r="AM656">
        <v>4</v>
      </c>
      <c r="AN656">
        <f t="shared" si="34"/>
        <v>640</v>
      </c>
      <c r="AO656" cm="1">
        <f t="array" ref="AO656">PRODUCT(_xlfn.XLOOKUP(AI656:AM656,$B$3:$B$6,$C$3:$C$6))</f>
        <v>0</v>
      </c>
      <c r="AP656">
        <f t="shared" si="35"/>
        <v>0</v>
      </c>
    </row>
    <row r="657" spans="35:42" x14ac:dyDescent="0.2">
      <c r="AI657">
        <v>4</v>
      </c>
      <c r="AJ657">
        <v>4</v>
      </c>
      <c r="AK657">
        <v>2</v>
      </c>
      <c r="AL657">
        <v>5</v>
      </c>
      <c r="AM657">
        <v>5</v>
      </c>
      <c r="AN657">
        <f t="shared" si="34"/>
        <v>800</v>
      </c>
      <c r="AO657" cm="1">
        <f t="array" ref="AO657">PRODUCT(_xlfn.XLOOKUP(AI657:AM657,$B$3:$B$6,$C$3:$C$6))</f>
        <v>0</v>
      </c>
      <c r="AP657">
        <f t="shared" si="35"/>
        <v>0</v>
      </c>
    </row>
    <row r="658" spans="35:42" x14ac:dyDescent="0.2">
      <c r="AI658">
        <v>4</v>
      </c>
      <c r="AJ658">
        <v>4</v>
      </c>
      <c r="AK658">
        <v>3</v>
      </c>
      <c r="AL658">
        <v>2</v>
      </c>
      <c r="AM658">
        <v>2</v>
      </c>
      <c r="AN658">
        <f t="shared" si="34"/>
        <v>192</v>
      </c>
      <c r="AO658" cm="1">
        <f t="array" ref="AO658">PRODUCT(_xlfn.XLOOKUP(AI658:AM658,$B$3:$B$6,$C$3:$C$6))</f>
        <v>0</v>
      </c>
      <c r="AP658">
        <f t="shared" si="35"/>
        <v>0</v>
      </c>
    </row>
    <row r="659" spans="35:42" x14ac:dyDescent="0.2">
      <c r="AI659">
        <v>4</v>
      </c>
      <c r="AJ659">
        <v>4</v>
      </c>
      <c r="AK659">
        <v>3</v>
      </c>
      <c r="AL659">
        <v>2</v>
      </c>
      <c r="AM659">
        <v>3</v>
      </c>
      <c r="AN659">
        <f t="shared" si="34"/>
        <v>288</v>
      </c>
      <c r="AO659" cm="1">
        <f t="array" ref="AO659">PRODUCT(_xlfn.XLOOKUP(AI659:AM659,$B$3:$B$6,$C$3:$C$6))</f>
        <v>0</v>
      </c>
      <c r="AP659">
        <f t="shared" si="35"/>
        <v>0</v>
      </c>
    </row>
    <row r="660" spans="35:42" x14ac:dyDescent="0.2">
      <c r="AI660">
        <v>4</v>
      </c>
      <c r="AJ660">
        <v>4</v>
      </c>
      <c r="AK660">
        <v>3</v>
      </c>
      <c r="AL660">
        <v>2</v>
      </c>
      <c r="AM660">
        <v>4</v>
      </c>
      <c r="AN660">
        <f t="shared" si="34"/>
        <v>384</v>
      </c>
      <c r="AO660" cm="1">
        <f t="array" ref="AO660">PRODUCT(_xlfn.XLOOKUP(AI660:AM660,$B$3:$B$6,$C$3:$C$6))</f>
        <v>0</v>
      </c>
      <c r="AP660">
        <f t="shared" si="35"/>
        <v>0</v>
      </c>
    </row>
    <row r="661" spans="35:42" x14ac:dyDescent="0.2">
      <c r="AI661">
        <v>4</v>
      </c>
      <c r="AJ661">
        <v>4</v>
      </c>
      <c r="AK661">
        <v>3</v>
      </c>
      <c r="AL661">
        <v>2</v>
      </c>
      <c r="AM661">
        <v>5</v>
      </c>
      <c r="AN661">
        <f t="shared" si="34"/>
        <v>480</v>
      </c>
      <c r="AO661" cm="1">
        <f t="array" ref="AO661">PRODUCT(_xlfn.XLOOKUP(AI661:AM661,$B$3:$B$6,$C$3:$C$6))</f>
        <v>0</v>
      </c>
      <c r="AP661">
        <f t="shared" si="35"/>
        <v>0</v>
      </c>
    </row>
    <row r="662" spans="35:42" x14ac:dyDescent="0.2">
      <c r="AI662">
        <v>4</v>
      </c>
      <c r="AJ662">
        <v>4</v>
      </c>
      <c r="AK662">
        <v>3</v>
      </c>
      <c r="AL662">
        <v>3</v>
      </c>
      <c r="AM662">
        <v>2</v>
      </c>
      <c r="AN662">
        <f t="shared" si="34"/>
        <v>288</v>
      </c>
      <c r="AO662" cm="1">
        <f t="array" ref="AO662">PRODUCT(_xlfn.XLOOKUP(AI662:AM662,$B$3:$B$6,$C$3:$C$6))</f>
        <v>0</v>
      </c>
      <c r="AP662">
        <f t="shared" si="35"/>
        <v>0</v>
      </c>
    </row>
    <row r="663" spans="35:42" x14ac:dyDescent="0.2">
      <c r="AI663">
        <v>4</v>
      </c>
      <c r="AJ663">
        <v>4</v>
      </c>
      <c r="AK663">
        <v>3</v>
      </c>
      <c r="AL663">
        <v>3</v>
      </c>
      <c r="AM663">
        <v>3</v>
      </c>
      <c r="AN663">
        <f t="shared" si="34"/>
        <v>432</v>
      </c>
      <c r="AO663" cm="1">
        <f t="array" ref="AO663">PRODUCT(_xlfn.XLOOKUP(AI663:AM663,$B$3:$B$6,$C$3:$C$6))</f>
        <v>0</v>
      </c>
      <c r="AP663">
        <f t="shared" si="35"/>
        <v>0</v>
      </c>
    </row>
    <row r="664" spans="35:42" x14ac:dyDescent="0.2">
      <c r="AI664">
        <v>4</v>
      </c>
      <c r="AJ664">
        <v>4</v>
      </c>
      <c r="AK664">
        <v>3</v>
      </c>
      <c r="AL664">
        <v>3</v>
      </c>
      <c r="AM664">
        <v>4</v>
      </c>
      <c r="AN664">
        <f t="shared" si="34"/>
        <v>576</v>
      </c>
      <c r="AO664" cm="1">
        <f t="array" ref="AO664">PRODUCT(_xlfn.XLOOKUP(AI664:AM664,$B$3:$B$6,$C$3:$C$6))</f>
        <v>0</v>
      </c>
      <c r="AP664">
        <f t="shared" si="35"/>
        <v>0</v>
      </c>
    </row>
    <row r="665" spans="35:42" x14ac:dyDescent="0.2">
      <c r="AI665">
        <v>4</v>
      </c>
      <c r="AJ665">
        <v>4</v>
      </c>
      <c r="AK665">
        <v>3</v>
      </c>
      <c r="AL665">
        <v>3</v>
      </c>
      <c r="AM665">
        <v>5</v>
      </c>
      <c r="AN665">
        <f t="shared" si="34"/>
        <v>720</v>
      </c>
      <c r="AO665" cm="1">
        <f t="array" ref="AO665">PRODUCT(_xlfn.XLOOKUP(AI665:AM665,$B$3:$B$6,$C$3:$C$6))</f>
        <v>0</v>
      </c>
      <c r="AP665">
        <f t="shared" si="35"/>
        <v>0</v>
      </c>
    </row>
    <row r="666" spans="35:42" x14ac:dyDescent="0.2">
      <c r="AI666">
        <v>4</v>
      </c>
      <c r="AJ666">
        <v>4</v>
      </c>
      <c r="AK666">
        <v>3</v>
      </c>
      <c r="AL666">
        <v>4</v>
      </c>
      <c r="AM666">
        <v>2</v>
      </c>
      <c r="AN666">
        <f t="shared" si="34"/>
        <v>384</v>
      </c>
      <c r="AO666" cm="1">
        <f t="array" ref="AO666">PRODUCT(_xlfn.XLOOKUP(AI666:AM666,$B$3:$B$6,$C$3:$C$6))</f>
        <v>0</v>
      </c>
      <c r="AP666">
        <f t="shared" si="35"/>
        <v>0</v>
      </c>
    </row>
    <row r="667" spans="35:42" x14ac:dyDescent="0.2">
      <c r="AI667">
        <v>4</v>
      </c>
      <c r="AJ667">
        <v>4</v>
      </c>
      <c r="AK667">
        <v>3</v>
      </c>
      <c r="AL667">
        <v>4</v>
      </c>
      <c r="AM667">
        <v>3</v>
      </c>
      <c r="AN667">
        <f t="shared" si="34"/>
        <v>576</v>
      </c>
      <c r="AO667" cm="1">
        <f t="array" ref="AO667">PRODUCT(_xlfn.XLOOKUP(AI667:AM667,$B$3:$B$6,$C$3:$C$6))</f>
        <v>0</v>
      </c>
      <c r="AP667">
        <f t="shared" si="35"/>
        <v>0</v>
      </c>
    </row>
    <row r="668" spans="35:42" x14ac:dyDescent="0.2">
      <c r="AI668">
        <v>4</v>
      </c>
      <c r="AJ668">
        <v>4</v>
      </c>
      <c r="AK668">
        <v>3</v>
      </c>
      <c r="AL668">
        <v>4</v>
      </c>
      <c r="AM668">
        <v>4</v>
      </c>
      <c r="AN668">
        <f t="shared" si="34"/>
        <v>768</v>
      </c>
      <c r="AO668" cm="1">
        <f t="array" ref="AO668">PRODUCT(_xlfn.XLOOKUP(AI668:AM668,$B$3:$B$6,$C$3:$C$6))</f>
        <v>0</v>
      </c>
      <c r="AP668">
        <f t="shared" si="35"/>
        <v>0</v>
      </c>
    </row>
    <row r="669" spans="35:42" x14ac:dyDescent="0.2">
      <c r="AI669">
        <v>4</v>
      </c>
      <c r="AJ669">
        <v>4</v>
      </c>
      <c r="AK669">
        <v>3</v>
      </c>
      <c r="AL669">
        <v>4</v>
      </c>
      <c r="AM669">
        <v>5</v>
      </c>
      <c r="AN669">
        <f t="shared" si="34"/>
        <v>960</v>
      </c>
      <c r="AO669" cm="1">
        <f t="array" ref="AO669">PRODUCT(_xlfn.XLOOKUP(AI669:AM669,$B$3:$B$6,$C$3:$C$6))</f>
        <v>0</v>
      </c>
      <c r="AP669">
        <f t="shared" si="35"/>
        <v>0</v>
      </c>
    </row>
    <row r="670" spans="35:42" x14ac:dyDescent="0.2">
      <c r="AI670">
        <v>4</v>
      </c>
      <c r="AJ670">
        <v>4</v>
      </c>
      <c r="AK670">
        <v>3</v>
      </c>
      <c r="AL670">
        <v>5</v>
      </c>
      <c r="AM670">
        <v>2</v>
      </c>
      <c r="AN670">
        <f t="shared" si="34"/>
        <v>480</v>
      </c>
      <c r="AO670" cm="1">
        <f t="array" ref="AO670">PRODUCT(_xlfn.XLOOKUP(AI670:AM670,$B$3:$B$6,$C$3:$C$6))</f>
        <v>0</v>
      </c>
      <c r="AP670">
        <f t="shared" si="35"/>
        <v>0</v>
      </c>
    </row>
    <row r="671" spans="35:42" x14ac:dyDescent="0.2">
      <c r="AI671">
        <v>4</v>
      </c>
      <c r="AJ671">
        <v>4</v>
      </c>
      <c r="AK671">
        <v>3</v>
      </c>
      <c r="AL671">
        <v>5</v>
      </c>
      <c r="AM671">
        <v>3</v>
      </c>
      <c r="AN671">
        <f t="shared" si="34"/>
        <v>720</v>
      </c>
      <c r="AO671" cm="1">
        <f t="array" ref="AO671">PRODUCT(_xlfn.XLOOKUP(AI671:AM671,$B$3:$B$6,$C$3:$C$6))</f>
        <v>0</v>
      </c>
      <c r="AP671">
        <f t="shared" si="35"/>
        <v>0</v>
      </c>
    </row>
    <row r="672" spans="35:42" x14ac:dyDescent="0.2">
      <c r="AI672">
        <v>4</v>
      </c>
      <c r="AJ672">
        <v>4</v>
      </c>
      <c r="AK672">
        <v>3</v>
      </c>
      <c r="AL672">
        <v>5</v>
      </c>
      <c r="AM672">
        <v>4</v>
      </c>
      <c r="AN672">
        <f t="shared" si="34"/>
        <v>960</v>
      </c>
      <c r="AO672" cm="1">
        <f t="array" ref="AO672">PRODUCT(_xlfn.XLOOKUP(AI672:AM672,$B$3:$B$6,$C$3:$C$6))</f>
        <v>0</v>
      </c>
      <c r="AP672">
        <f t="shared" si="35"/>
        <v>0</v>
      </c>
    </row>
    <row r="673" spans="35:42" x14ac:dyDescent="0.2">
      <c r="AI673">
        <v>4</v>
      </c>
      <c r="AJ673">
        <v>4</v>
      </c>
      <c r="AK673">
        <v>3</v>
      </c>
      <c r="AL673">
        <v>5</v>
      </c>
      <c r="AM673">
        <v>5</v>
      </c>
      <c r="AN673">
        <f t="shared" si="34"/>
        <v>1200</v>
      </c>
      <c r="AO673" cm="1">
        <f t="array" ref="AO673">PRODUCT(_xlfn.XLOOKUP(AI673:AM673,$B$3:$B$6,$C$3:$C$6))</f>
        <v>0</v>
      </c>
      <c r="AP673">
        <f t="shared" si="35"/>
        <v>0</v>
      </c>
    </row>
    <row r="674" spans="35:42" x14ac:dyDescent="0.2">
      <c r="AI674">
        <v>4</v>
      </c>
      <c r="AJ674">
        <v>4</v>
      </c>
      <c r="AK674">
        <v>4</v>
      </c>
      <c r="AL674">
        <v>2</v>
      </c>
      <c r="AM674">
        <v>2</v>
      </c>
      <c r="AN674">
        <f t="shared" si="34"/>
        <v>256</v>
      </c>
      <c r="AO674" cm="1">
        <f t="array" ref="AO674">PRODUCT(_xlfn.XLOOKUP(AI674:AM674,$B$3:$B$6,$C$3:$C$6))</f>
        <v>0</v>
      </c>
      <c r="AP674">
        <f t="shared" si="35"/>
        <v>0</v>
      </c>
    </row>
    <row r="675" spans="35:42" x14ac:dyDescent="0.2">
      <c r="AI675">
        <v>4</v>
      </c>
      <c r="AJ675">
        <v>4</v>
      </c>
      <c r="AK675">
        <v>4</v>
      </c>
      <c r="AL675">
        <v>2</v>
      </c>
      <c r="AM675">
        <v>3</v>
      </c>
      <c r="AN675">
        <f t="shared" si="34"/>
        <v>384</v>
      </c>
      <c r="AO675" cm="1">
        <f t="array" ref="AO675">PRODUCT(_xlfn.XLOOKUP(AI675:AM675,$B$3:$B$6,$C$3:$C$6))</f>
        <v>0</v>
      </c>
      <c r="AP675">
        <f t="shared" si="35"/>
        <v>0</v>
      </c>
    </row>
    <row r="676" spans="35:42" x14ac:dyDescent="0.2">
      <c r="AI676">
        <v>4</v>
      </c>
      <c r="AJ676">
        <v>4</v>
      </c>
      <c r="AK676">
        <v>4</v>
      </c>
      <c r="AL676">
        <v>2</v>
      </c>
      <c r="AM676">
        <v>4</v>
      </c>
      <c r="AN676">
        <f t="shared" si="34"/>
        <v>512</v>
      </c>
      <c r="AO676" cm="1">
        <f t="array" ref="AO676">PRODUCT(_xlfn.XLOOKUP(AI676:AM676,$B$3:$B$6,$C$3:$C$6))</f>
        <v>0</v>
      </c>
      <c r="AP676">
        <f t="shared" si="35"/>
        <v>0</v>
      </c>
    </row>
    <row r="677" spans="35:42" x14ac:dyDescent="0.2">
      <c r="AI677">
        <v>4</v>
      </c>
      <c r="AJ677">
        <v>4</v>
      </c>
      <c r="AK677">
        <v>4</v>
      </c>
      <c r="AL677">
        <v>2</v>
      </c>
      <c r="AM677">
        <v>5</v>
      </c>
      <c r="AN677">
        <f t="shared" si="34"/>
        <v>640</v>
      </c>
      <c r="AO677" cm="1">
        <f t="array" ref="AO677">PRODUCT(_xlfn.XLOOKUP(AI677:AM677,$B$3:$B$6,$C$3:$C$6))</f>
        <v>0</v>
      </c>
      <c r="AP677">
        <f t="shared" si="35"/>
        <v>0</v>
      </c>
    </row>
    <row r="678" spans="35:42" x14ac:dyDescent="0.2">
      <c r="AI678">
        <v>4</v>
      </c>
      <c r="AJ678">
        <v>4</v>
      </c>
      <c r="AK678">
        <v>4</v>
      </c>
      <c r="AL678">
        <v>3</v>
      </c>
      <c r="AM678">
        <v>2</v>
      </c>
      <c r="AN678">
        <f t="shared" si="34"/>
        <v>384</v>
      </c>
      <c r="AO678" cm="1">
        <f t="array" ref="AO678">PRODUCT(_xlfn.XLOOKUP(AI678:AM678,$B$3:$B$6,$C$3:$C$6))</f>
        <v>0</v>
      </c>
      <c r="AP678">
        <f t="shared" si="35"/>
        <v>0</v>
      </c>
    </row>
    <row r="679" spans="35:42" x14ac:dyDescent="0.2">
      <c r="AI679">
        <v>4</v>
      </c>
      <c r="AJ679">
        <v>4</v>
      </c>
      <c r="AK679">
        <v>4</v>
      </c>
      <c r="AL679">
        <v>3</v>
      </c>
      <c r="AM679">
        <v>3</v>
      </c>
      <c r="AN679">
        <f t="shared" si="34"/>
        <v>576</v>
      </c>
      <c r="AO679" cm="1">
        <f t="array" ref="AO679">PRODUCT(_xlfn.XLOOKUP(AI679:AM679,$B$3:$B$6,$C$3:$C$6))</f>
        <v>0</v>
      </c>
      <c r="AP679">
        <f t="shared" si="35"/>
        <v>0</v>
      </c>
    </row>
    <row r="680" spans="35:42" x14ac:dyDescent="0.2">
      <c r="AI680">
        <v>4</v>
      </c>
      <c r="AJ680">
        <v>4</v>
      </c>
      <c r="AK680">
        <v>4</v>
      </c>
      <c r="AL680">
        <v>3</v>
      </c>
      <c r="AM680">
        <v>4</v>
      </c>
      <c r="AN680">
        <f t="shared" si="34"/>
        <v>768</v>
      </c>
      <c r="AO680" cm="1">
        <f t="array" ref="AO680">PRODUCT(_xlfn.XLOOKUP(AI680:AM680,$B$3:$B$6,$C$3:$C$6))</f>
        <v>0</v>
      </c>
      <c r="AP680">
        <f t="shared" si="35"/>
        <v>0</v>
      </c>
    </row>
    <row r="681" spans="35:42" x14ac:dyDescent="0.2">
      <c r="AI681">
        <v>4</v>
      </c>
      <c r="AJ681">
        <v>4</v>
      </c>
      <c r="AK681">
        <v>4</v>
      </c>
      <c r="AL681">
        <v>3</v>
      </c>
      <c r="AM681">
        <v>5</v>
      </c>
      <c r="AN681">
        <f t="shared" si="34"/>
        <v>960</v>
      </c>
      <c r="AO681" cm="1">
        <f t="array" ref="AO681">PRODUCT(_xlfn.XLOOKUP(AI681:AM681,$B$3:$B$6,$C$3:$C$6))</f>
        <v>0</v>
      </c>
      <c r="AP681">
        <f t="shared" si="35"/>
        <v>0</v>
      </c>
    </row>
    <row r="682" spans="35:42" x14ac:dyDescent="0.2">
      <c r="AI682">
        <v>4</v>
      </c>
      <c r="AJ682">
        <v>4</v>
      </c>
      <c r="AK682">
        <v>4</v>
      </c>
      <c r="AL682">
        <v>4</v>
      </c>
      <c r="AM682">
        <v>2</v>
      </c>
      <c r="AN682">
        <f t="shared" si="34"/>
        <v>512</v>
      </c>
      <c r="AO682" cm="1">
        <f t="array" ref="AO682">PRODUCT(_xlfn.XLOOKUP(AI682:AM682,$B$3:$B$6,$C$3:$C$6))</f>
        <v>0</v>
      </c>
      <c r="AP682">
        <f t="shared" si="35"/>
        <v>0</v>
      </c>
    </row>
    <row r="683" spans="35:42" x14ac:dyDescent="0.2">
      <c r="AI683">
        <v>4</v>
      </c>
      <c r="AJ683">
        <v>4</v>
      </c>
      <c r="AK683">
        <v>4</v>
      </c>
      <c r="AL683">
        <v>4</v>
      </c>
      <c r="AM683">
        <v>3</v>
      </c>
      <c r="AN683">
        <f t="shared" si="34"/>
        <v>768</v>
      </c>
      <c r="AO683" cm="1">
        <f t="array" ref="AO683">PRODUCT(_xlfn.XLOOKUP(AI683:AM683,$B$3:$B$6,$C$3:$C$6))</f>
        <v>0</v>
      </c>
      <c r="AP683">
        <f t="shared" si="35"/>
        <v>0</v>
      </c>
    </row>
    <row r="684" spans="35:42" x14ac:dyDescent="0.2">
      <c r="AI684">
        <v>4</v>
      </c>
      <c r="AJ684">
        <v>4</v>
      </c>
      <c r="AK684">
        <v>4</v>
      </c>
      <c r="AL684">
        <v>4</v>
      </c>
      <c r="AM684">
        <v>4</v>
      </c>
      <c r="AN684">
        <f t="shared" si="34"/>
        <v>1024</v>
      </c>
      <c r="AO684" cm="1">
        <f t="array" ref="AO684">PRODUCT(_xlfn.XLOOKUP(AI684:AM684,$B$3:$B$6,$C$3:$C$6))</f>
        <v>0</v>
      </c>
      <c r="AP684">
        <f t="shared" si="35"/>
        <v>0</v>
      </c>
    </row>
    <row r="685" spans="35:42" x14ac:dyDescent="0.2">
      <c r="AI685">
        <v>4</v>
      </c>
      <c r="AJ685">
        <v>4</v>
      </c>
      <c r="AK685">
        <v>4</v>
      </c>
      <c r="AL685">
        <v>4</v>
      </c>
      <c r="AM685">
        <v>5</v>
      </c>
      <c r="AN685">
        <f t="shared" si="34"/>
        <v>1280</v>
      </c>
      <c r="AO685" cm="1">
        <f t="array" ref="AO685">PRODUCT(_xlfn.XLOOKUP(AI685:AM685,$B$3:$B$6,$C$3:$C$6))</f>
        <v>0</v>
      </c>
      <c r="AP685">
        <f t="shared" si="35"/>
        <v>0</v>
      </c>
    </row>
    <row r="686" spans="35:42" x14ac:dyDescent="0.2">
      <c r="AI686">
        <v>4</v>
      </c>
      <c r="AJ686">
        <v>4</v>
      </c>
      <c r="AK686">
        <v>4</v>
      </c>
      <c r="AL686">
        <v>5</v>
      </c>
      <c r="AM686">
        <v>2</v>
      </c>
      <c r="AN686">
        <f t="shared" si="34"/>
        <v>640</v>
      </c>
      <c r="AO686" cm="1">
        <f t="array" ref="AO686">PRODUCT(_xlfn.XLOOKUP(AI686:AM686,$B$3:$B$6,$C$3:$C$6))</f>
        <v>0</v>
      </c>
      <c r="AP686">
        <f t="shared" si="35"/>
        <v>0</v>
      </c>
    </row>
    <row r="687" spans="35:42" x14ac:dyDescent="0.2">
      <c r="AI687">
        <v>4</v>
      </c>
      <c r="AJ687">
        <v>4</v>
      </c>
      <c r="AK687">
        <v>4</v>
      </c>
      <c r="AL687">
        <v>5</v>
      </c>
      <c r="AM687">
        <v>3</v>
      </c>
      <c r="AN687">
        <f t="shared" si="34"/>
        <v>960</v>
      </c>
      <c r="AO687" cm="1">
        <f t="array" ref="AO687">PRODUCT(_xlfn.XLOOKUP(AI687:AM687,$B$3:$B$6,$C$3:$C$6))</f>
        <v>0</v>
      </c>
      <c r="AP687">
        <f t="shared" si="35"/>
        <v>0</v>
      </c>
    </row>
    <row r="688" spans="35:42" x14ac:dyDescent="0.2">
      <c r="AI688">
        <v>4</v>
      </c>
      <c r="AJ688">
        <v>4</v>
      </c>
      <c r="AK688">
        <v>4</v>
      </c>
      <c r="AL688">
        <v>5</v>
      </c>
      <c r="AM688">
        <v>4</v>
      </c>
      <c r="AN688">
        <f t="shared" si="34"/>
        <v>1280</v>
      </c>
      <c r="AO688" cm="1">
        <f t="array" ref="AO688">PRODUCT(_xlfn.XLOOKUP(AI688:AM688,$B$3:$B$6,$C$3:$C$6))</f>
        <v>0</v>
      </c>
      <c r="AP688">
        <f t="shared" si="35"/>
        <v>0</v>
      </c>
    </row>
    <row r="689" spans="35:42" x14ac:dyDescent="0.2">
      <c r="AI689">
        <v>4</v>
      </c>
      <c r="AJ689">
        <v>4</v>
      </c>
      <c r="AK689">
        <v>4</v>
      </c>
      <c r="AL689">
        <v>5</v>
      </c>
      <c r="AM689">
        <v>5</v>
      </c>
      <c r="AN689">
        <f t="shared" si="34"/>
        <v>1600</v>
      </c>
      <c r="AO689" cm="1">
        <f t="array" ref="AO689">PRODUCT(_xlfn.XLOOKUP(AI689:AM689,$B$3:$B$6,$C$3:$C$6))</f>
        <v>0</v>
      </c>
      <c r="AP689">
        <f t="shared" si="35"/>
        <v>0</v>
      </c>
    </row>
    <row r="690" spans="35:42" x14ac:dyDescent="0.2">
      <c r="AI690">
        <v>4</v>
      </c>
      <c r="AJ690">
        <v>4</v>
      </c>
      <c r="AK690">
        <v>5</v>
      </c>
      <c r="AL690">
        <v>2</v>
      </c>
      <c r="AM690">
        <v>2</v>
      </c>
      <c r="AN690">
        <f t="shared" si="34"/>
        <v>320</v>
      </c>
      <c r="AO690" cm="1">
        <f t="array" ref="AO690">PRODUCT(_xlfn.XLOOKUP(AI690:AM690,$B$3:$B$6,$C$3:$C$6))</f>
        <v>0</v>
      </c>
      <c r="AP690">
        <f t="shared" si="35"/>
        <v>0</v>
      </c>
    </row>
    <row r="691" spans="35:42" x14ac:dyDescent="0.2">
      <c r="AI691">
        <v>4</v>
      </c>
      <c r="AJ691">
        <v>4</v>
      </c>
      <c r="AK691">
        <v>5</v>
      </c>
      <c r="AL691">
        <v>2</v>
      </c>
      <c r="AM691">
        <v>3</v>
      </c>
      <c r="AN691">
        <f t="shared" si="34"/>
        <v>480</v>
      </c>
      <c r="AO691" cm="1">
        <f t="array" ref="AO691">PRODUCT(_xlfn.XLOOKUP(AI691:AM691,$B$3:$B$6,$C$3:$C$6))</f>
        <v>0</v>
      </c>
      <c r="AP691">
        <f t="shared" si="35"/>
        <v>0</v>
      </c>
    </row>
    <row r="692" spans="35:42" x14ac:dyDescent="0.2">
      <c r="AI692">
        <v>4</v>
      </c>
      <c r="AJ692">
        <v>4</v>
      </c>
      <c r="AK692">
        <v>5</v>
      </c>
      <c r="AL692">
        <v>2</v>
      </c>
      <c r="AM692">
        <v>4</v>
      </c>
      <c r="AN692">
        <f t="shared" si="34"/>
        <v>640</v>
      </c>
      <c r="AO692" cm="1">
        <f t="array" ref="AO692">PRODUCT(_xlfn.XLOOKUP(AI692:AM692,$B$3:$B$6,$C$3:$C$6))</f>
        <v>0</v>
      </c>
      <c r="AP692">
        <f t="shared" si="35"/>
        <v>0</v>
      </c>
    </row>
    <row r="693" spans="35:42" x14ac:dyDescent="0.2">
      <c r="AI693">
        <v>4</v>
      </c>
      <c r="AJ693">
        <v>4</v>
      </c>
      <c r="AK693">
        <v>5</v>
      </c>
      <c r="AL693">
        <v>2</v>
      </c>
      <c r="AM693">
        <v>5</v>
      </c>
      <c r="AN693">
        <f t="shared" si="34"/>
        <v>800</v>
      </c>
      <c r="AO693" cm="1">
        <f t="array" ref="AO693">PRODUCT(_xlfn.XLOOKUP(AI693:AM693,$B$3:$B$6,$C$3:$C$6))</f>
        <v>0</v>
      </c>
      <c r="AP693">
        <f t="shared" si="35"/>
        <v>0</v>
      </c>
    </row>
    <row r="694" spans="35:42" x14ac:dyDescent="0.2">
      <c r="AI694">
        <v>4</v>
      </c>
      <c r="AJ694">
        <v>4</v>
      </c>
      <c r="AK694">
        <v>5</v>
      </c>
      <c r="AL694">
        <v>3</v>
      </c>
      <c r="AM694">
        <v>2</v>
      </c>
      <c r="AN694">
        <f t="shared" si="34"/>
        <v>480</v>
      </c>
      <c r="AO694" cm="1">
        <f t="array" ref="AO694">PRODUCT(_xlfn.XLOOKUP(AI694:AM694,$B$3:$B$6,$C$3:$C$6))</f>
        <v>0</v>
      </c>
      <c r="AP694">
        <f t="shared" si="35"/>
        <v>0</v>
      </c>
    </row>
    <row r="695" spans="35:42" x14ac:dyDescent="0.2">
      <c r="AI695">
        <v>4</v>
      </c>
      <c r="AJ695">
        <v>4</v>
      </c>
      <c r="AK695">
        <v>5</v>
      </c>
      <c r="AL695">
        <v>3</v>
      </c>
      <c r="AM695">
        <v>3</v>
      </c>
      <c r="AN695">
        <f t="shared" si="34"/>
        <v>720</v>
      </c>
      <c r="AO695" cm="1">
        <f t="array" ref="AO695">PRODUCT(_xlfn.XLOOKUP(AI695:AM695,$B$3:$B$6,$C$3:$C$6))</f>
        <v>0</v>
      </c>
      <c r="AP695">
        <f t="shared" si="35"/>
        <v>0</v>
      </c>
    </row>
    <row r="696" spans="35:42" x14ac:dyDescent="0.2">
      <c r="AI696">
        <v>4</v>
      </c>
      <c r="AJ696">
        <v>4</v>
      </c>
      <c r="AK696">
        <v>5</v>
      </c>
      <c r="AL696">
        <v>3</v>
      </c>
      <c r="AM696">
        <v>4</v>
      </c>
      <c r="AN696">
        <f t="shared" si="34"/>
        <v>960</v>
      </c>
      <c r="AO696" cm="1">
        <f t="array" ref="AO696">PRODUCT(_xlfn.XLOOKUP(AI696:AM696,$B$3:$B$6,$C$3:$C$6))</f>
        <v>0</v>
      </c>
      <c r="AP696">
        <f t="shared" si="35"/>
        <v>0</v>
      </c>
    </row>
    <row r="697" spans="35:42" x14ac:dyDescent="0.2">
      <c r="AI697">
        <v>4</v>
      </c>
      <c r="AJ697">
        <v>4</v>
      </c>
      <c r="AK697">
        <v>5</v>
      </c>
      <c r="AL697">
        <v>3</v>
      </c>
      <c r="AM697">
        <v>5</v>
      </c>
      <c r="AN697">
        <f t="shared" si="34"/>
        <v>1200</v>
      </c>
      <c r="AO697" cm="1">
        <f t="array" ref="AO697">PRODUCT(_xlfn.XLOOKUP(AI697:AM697,$B$3:$B$6,$C$3:$C$6))</f>
        <v>0</v>
      </c>
      <c r="AP697">
        <f t="shared" si="35"/>
        <v>0</v>
      </c>
    </row>
    <row r="698" spans="35:42" x14ac:dyDescent="0.2">
      <c r="AI698">
        <v>4</v>
      </c>
      <c r="AJ698">
        <v>4</v>
      </c>
      <c r="AK698">
        <v>5</v>
      </c>
      <c r="AL698">
        <v>4</v>
      </c>
      <c r="AM698">
        <v>2</v>
      </c>
      <c r="AN698">
        <f t="shared" si="34"/>
        <v>640</v>
      </c>
      <c r="AO698" cm="1">
        <f t="array" ref="AO698">PRODUCT(_xlfn.XLOOKUP(AI698:AM698,$B$3:$B$6,$C$3:$C$6))</f>
        <v>0</v>
      </c>
      <c r="AP698">
        <f t="shared" si="35"/>
        <v>0</v>
      </c>
    </row>
    <row r="699" spans="35:42" x14ac:dyDescent="0.2">
      <c r="AI699">
        <v>4</v>
      </c>
      <c r="AJ699">
        <v>4</v>
      </c>
      <c r="AK699">
        <v>5</v>
      </c>
      <c r="AL699">
        <v>4</v>
      </c>
      <c r="AM699">
        <v>3</v>
      </c>
      <c r="AN699">
        <f t="shared" si="34"/>
        <v>960</v>
      </c>
      <c r="AO699" cm="1">
        <f t="array" ref="AO699">PRODUCT(_xlfn.XLOOKUP(AI699:AM699,$B$3:$B$6,$C$3:$C$6))</f>
        <v>0</v>
      </c>
      <c r="AP699">
        <f t="shared" si="35"/>
        <v>0</v>
      </c>
    </row>
    <row r="700" spans="35:42" x14ac:dyDescent="0.2">
      <c r="AI700">
        <v>4</v>
      </c>
      <c r="AJ700">
        <v>4</v>
      </c>
      <c r="AK700">
        <v>5</v>
      </c>
      <c r="AL700">
        <v>4</v>
      </c>
      <c r="AM700">
        <v>4</v>
      </c>
      <c r="AN700">
        <f t="shared" si="34"/>
        <v>1280</v>
      </c>
      <c r="AO700" cm="1">
        <f t="array" ref="AO700">PRODUCT(_xlfn.XLOOKUP(AI700:AM700,$B$3:$B$6,$C$3:$C$6))</f>
        <v>0</v>
      </c>
      <c r="AP700">
        <f t="shared" si="35"/>
        <v>0</v>
      </c>
    </row>
    <row r="701" spans="35:42" x14ac:dyDescent="0.2">
      <c r="AI701">
        <v>4</v>
      </c>
      <c r="AJ701">
        <v>4</v>
      </c>
      <c r="AK701">
        <v>5</v>
      </c>
      <c r="AL701">
        <v>4</v>
      </c>
      <c r="AM701">
        <v>5</v>
      </c>
      <c r="AN701">
        <f t="shared" si="34"/>
        <v>1600</v>
      </c>
      <c r="AO701" cm="1">
        <f t="array" ref="AO701">PRODUCT(_xlfn.XLOOKUP(AI701:AM701,$B$3:$B$6,$C$3:$C$6))</f>
        <v>0</v>
      </c>
      <c r="AP701">
        <f t="shared" si="35"/>
        <v>0</v>
      </c>
    </row>
    <row r="702" spans="35:42" x14ac:dyDescent="0.2">
      <c r="AI702">
        <v>4</v>
      </c>
      <c r="AJ702">
        <v>4</v>
      </c>
      <c r="AK702">
        <v>5</v>
      </c>
      <c r="AL702">
        <v>5</v>
      </c>
      <c r="AM702">
        <v>2</v>
      </c>
      <c r="AN702">
        <f t="shared" si="34"/>
        <v>800</v>
      </c>
      <c r="AO702" cm="1">
        <f t="array" ref="AO702">PRODUCT(_xlfn.XLOOKUP(AI702:AM702,$B$3:$B$6,$C$3:$C$6))</f>
        <v>0</v>
      </c>
      <c r="AP702">
        <f t="shared" si="35"/>
        <v>0</v>
      </c>
    </row>
    <row r="703" spans="35:42" x14ac:dyDescent="0.2">
      <c r="AI703">
        <v>4</v>
      </c>
      <c r="AJ703">
        <v>4</v>
      </c>
      <c r="AK703">
        <v>5</v>
      </c>
      <c r="AL703">
        <v>5</v>
      </c>
      <c r="AM703">
        <v>3</v>
      </c>
      <c r="AN703">
        <f t="shared" si="34"/>
        <v>1200</v>
      </c>
      <c r="AO703" cm="1">
        <f t="array" ref="AO703">PRODUCT(_xlfn.XLOOKUP(AI703:AM703,$B$3:$B$6,$C$3:$C$6))</f>
        <v>0</v>
      </c>
      <c r="AP703">
        <f t="shared" si="35"/>
        <v>0</v>
      </c>
    </row>
    <row r="704" spans="35:42" x14ac:dyDescent="0.2">
      <c r="AI704">
        <v>4</v>
      </c>
      <c r="AJ704">
        <v>4</v>
      </c>
      <c r="AK704">
        <v>5</v>
      </c>
      <c r="AL704">
        <v>5</v>
      </c>
      <c r="AM704">
        <v>4</v>
      </c>
      <c r="AN704">
        <f t="shared" si="34"/>
        <v>1600</v>
      </c>
      <c r="AO704" cm="1">
        <f t="array" ref="AO704">PRODUCT(_xlfn.XLOOKUP(AI704:AM704,$B$3:$B$6,$C$3:$C$6))</f>
        <v>0</v>
      </c>
      <c r="AP704">
        <f t="shared" si="35"/>
        <v>0</v>
      </c>
    </row>
    <row r="705" spans="35:42" x14ac:dyDescent="0.2">
      <c r="AI705">
        <v>4</v>
      </c>
      <c r="AJ705">
        <v>4</v>
      </c>
      <c r="AK705">
        <v>5</v>
      </c>
      <c r="AL705">
        <v>5</v>
      </c>
      <c r="AM705">
        <v>5</v>
      </c>
      <c r="AN705">
        <f t="shared" si="34"/>
        <v>2000</v>
      </c>
      <c r="AO705" cm="1">
        <f t="array" ref="AO705">PRODUCT(_xlfn.XLOOKUP(AI705:AM705,$B$3:$B$6,$C$3:$C$6))</f>
        <v>0</v>
      </c>
      <c r="AP705">
        <f t="shared" si="35"/>
        <v>0</v>
      </c>
    </row>
    <row r="706" spans="35:42" x14ac:dyDescent="0.2">
      <c r="AI706">
        <v>4</v>
      </c>
      <c r="AJ706">
        <v>5</v>
      </c>
      <c r="AK706">
        <v>2</v>
      </c>
      <c r="AL706">
        <v>2</v>
      </c>
      <c r="AM706">
        <v>2</v>
      </c>
      <c r="AN706">
        <f t="shared" si="34"/>
        <v>160</v>
      </c>
      <c r="AO706" cm="1">
        <f t="array" ref="AO706">PRODUCT(_xlfn.XLOOKUP(AI706:AM706,$B$3:$B$6,$C$3:$C$6))</f>
        <v>0</v>
      </c>
      <c r="AP706">
        <f t="shared" si="35"/>
        <v>0</v>
      </c>
    </row>
    <row r="707" spans="35:42" x14ac:dyDescent="0.2">
      <c r="AI707">
        <v>4</v>
      </c>
      <c r="AJ707">
        <v>5</v>
      </c>
      <c r="AK707">
        <v>2</v>
      </c>
      <c r="AL707">
        <v>2</v>
      </c>
      <c r="AM707">
        <v>3</v>
      </c>
      <c r="AN707">
        <f t="shared" ref="AN707:AN770" si="36">PRODUCT(AI707:AM707)</f>
        <v>240</v>
      </c>
      <c r="AO707" cm="1">
        <f t="array" ref="AO707">PRODUCT(_xlfn.XLOOKUP(AI707:AM707,$B$3:$B$6,$C$3:$C$6))</f>
        <v>0</v>
      </c>
      <c r="AP707">
        <f t="shared" ref="AP707:AP770" si="37">AN707*AO707</f>
        <v>0</v>
      </c>
    </row>
    <row r="708" spans="35:42" x14ac:dyDescent="0.2">
      <c r="AI708">
        <v>4</v>
      </c>
      <c r="AJ708">
        <v>5</v>
      </c>
      <c r="AK708">
        <v>2</v>
      </c>
      <c r="AL708">
        <v>2</v>
      </c>
      <c r="AM708">
        <v>4</v>
      </c>
      <c r="AN708">
        <f t="shared" si="36"/>
        <v>320</v>
      </c>
      <c r="AO708" cm="1">
        <f t="array" ref="AO708">PRODUCT(_xlfn.XLOOKUP(AI708:AM708,$B$3:$B$6,$C$3:$C$6))</f>
        <v>0</v>
      </c>
      <c r="AP708">
        <f t="shared" si="37"/>
        <v>0</v>
      </c>
    </row>
    <row r="709" spans="35:42" x14ac:dyDescent="0.2">
      <c r="AI709">
        <v>4</v>
      </c>
      <c r="AJ709">
        <v>5</v>
      </c>
      <c r="AK709">
        <v>2</v>
      </c>
      <c r="AL709">
        <v>2</v>
      </c>
      <c r="AM709">
        <v>5</v>
      </c>
      <c r="AN709">
        <f t="shared" si="36"/>
        <v>400</v>
      </c>
      <c r="AO709" cm="1">
        <f t="array" ref="AO709">PRODUCT(_xlfn.XLOOKUP(AI709:AM709,$B$3:$B$6,$C$3:$C$6))</f>
        <v>0</v>
      </c>
      <c r="AP709">
        <f t="shared" si="37"/>
        <v>0</v>
      </c>
    </row>
    <row r="710" spans="35:42" x14ac:dyDescent="0.2">
      <c r="AI710">
        <v>4</v>
      </c>
      <c r="AJ710">
        <v>5</v>
      </c>
      <c r="AK710">
        <v>2</v>
      </c>
      <c r="AL710">
        <v>3</v>
      </c>
      <c r="AM710">
        <v>2</v>
      </c>
      <c r="AN710">
        <f t="shared" si="36"/>
        <v>240</v>
      </c>
      <c r="AO710" cm="1">
        <f t="array" ref="AO710">PRODUCT(_xlfn.XLOOKUP(AI710:AM710,$B$3:$B$6,$C$3:$C$6))</f>
        <v>0</v>
      </c>
      <c r="AP710">
        <f t="shared" si="37"/>
        <v>0</v>
      </c>
    </row>
    <row r="711" spans="35:42" x14ac:dyDescent="0.2">
      <c r="AI711">
        <v>4</v>
      </c>
      <c r="AJ711">
        <v>5</v>
      </c>
      <c r="AK711">
        <v>2</v>
      </c>
      <c r="AL711">
        <v>3</v>
      </c>
      <c r="AM711">
        <v>3</v>
      </c>
      <c r="AN711">
        <f t="shared" si="36"/>
        <v>360</v>
      </c>
      <c r="AO711" cm="1">
        <f t="array" ref="AO711">PRODUCT(_xlfn.XLOOKUP(AI711:AM711,$B$3:$B$6,$C$3:$C$6))</f>
        <v>0</v>
      </c>
      <c r="AP711">
        <f t="shared" si="37"/>
        <v>0</v>
      </c>
    </row>
    <row r="712" spans="35:42" x14ac:dyDescent="0.2">
      <c r="AI712">
        <v>4</v>
      </c>
      <c r="AJ712">
        <v>5</v>
      </c>
      <c r="AK712">
        <v>2</v>
      </c>
      <c r="AL712">
        <v>3</v>
      </c>
      <c r="AM712">
        <v>4</v>
      </c>
      <c r="AN712">
        <f t="shared" si="36"/>
        <v>480</v>
      </c>
      <c r="AO712" cm="1">
        <f t="array" ref="AO712">PRODUCT(_xlfn.XLOOKUP(AI712:AM712,$B$3:$B$6,$C$3:$C$6))</f>
        <v>0</v>
      </c>
      <c r="AP712">
        <f t="shared" si="37"/>
        <v>0</v>
      </c>
    </row>
    <row r="713" spans="35:42" x14ac:dyDescent="0.2">
      <c r="AI713">
        <v>4</v>
      </c>
      <c r="AJ713">
        <v>5</v>
      </c>
      <c r="AK713">
        <v>2</v>
      </c>
      <c r="AL713">
        <v>3</v>
      </c>
      <c r="AM713">
        <v>5</v>
      </c>
      <c r="AN713">
        <f t="shared" si="36"/>
        <v>600</v>
      </c>
      <c r="AO713" cm="1">
        <f t="array" ref="AO713">PRODUCT(_xlfn.XLOOKUP(AI713:AM713,$B$3:$B$6,$C$3:$C$6))</f>
        <v>0</v>
      </c>
      <c r="AP713">
        <f t="shared" si="37"/>
        <v>0</v>
      </c>
    </row>
    <row r="714" spans="35:42" x14ac:dyDescent="0.2">
      <c r="AI714">
        <v>4</v>
      </c>
      <c r="AJ714">
        <v>5</v>
      </c>
      <c r="AK714">
        <v>2</v>
      </c>
      <c r="AL714">
        <v>4</v>
      </c>
      <c r="AM714">
        <v>2</v>
      </c>
      <c r="AN714">
        <f t="shared" si="36"/>
        <v>320</v>
      </c>
      <c r="AO714" cm="1">
        <f t="array" ref="AO714">PRODUCT(_xlfn.XLOOKUP(AI714:AM714,$B$3:$B$6,$C$3:$C$6))</f>
        <v>0</v>
      </c>
      <c r="AP714">
        <f t="shared" si="37"/>
        <v>0</v>
      </c>
    </row>
    <row r="715" spans="35:42" x14ac:dyDescent="0.2">
      <c r="AI715">
        <v>4</v>
      </c>
      <c r="AJ715">
        <v>5</v>
      </c>
      <c r="AK715">
        <v>2</v>
      </c>
      <c r="AL715">
        <v>4</v>
      </c>
      <c r="AM715">
        <v>3</v>
      </c>
      <c r="AN715">
        <f t="shared" si="36"/>
        <v>480</v>
      </c>
      <c r="AO715" cm="1">
        <f t="array" ref="AO715">PRODUCT(_xlfn.XLOOKUP(AI715:AM715,$B$3:$B$6,$C$3:$C$6))</f>
        <v>0</v>
      </c>
      <c r="AP715">
        <f t="shared" si="37"/>
        <v>0</v>
      </c>
    </row>
    <row r="716" spans="35:42" x14ac:dyDescent="0.2">
      <c r="AI716">
        <v>4</v>
      </c>
      <c r="AJ716">
        <v>5</v>
      </c>
      <c r="AK716">
        <v>2</v>
      </c>
      <c r="AL716">
        <v>4</v>
      </c>
      <c r="AM716">
        <v>4</v>
      </c>
      <c r="AN716">
        <f t="shared" si="36"/>
        <v>640</v>
      </c>
      <c r="AO716" cm="1">
        <f t="array" ref="AO716">PRODUCT(_xlfn.XLOOKUP(AI716:AM716,$B$3:$B$6,$C$3:$C$6))</f>
        <v>0</v>
      </c>
      <c r="AP716">
        <f t="shared" si="37"/>
        <v>0</v>
      </c>
    </row>
    <row r="717" spans="35:42" x14ac:dyDescent="0.2">
      <c r="AI717">
        <v>4</v>
      </c>
      <c r="AJ717">
        <v>5</v>
      </c>
      <c r="AK717">
        <v>2</v>
      </c>
      <c r="AL717">
        <v>4</v>
      </c>
      <c r="AM717">
        <v>5</v>
      </c>
      <c r="AN717">
        <f t="shared" si="36"/>
        <v>800</v>
      </c>
      <c r="AO717" cm="1">
        <f t="array" ref="AO717">PRODUCT(_xlfn.XLOOKUP(AI717:AM717,$B$3:$B$6,$C$3:$C$6))</f>
        <v>0</v>
      </c>
      <c r="AP717">
        <f t="shared" si="37"/>
        <v>0</v>
      </c>
    </row>
    <row r="718" spans="35:42" x14ac:dyDescent="0.2">
      <c r="AI718">
        <v>4</v>
      </c>
      <c r="AJ718">
        <v>5</v>
      </c>
      <c r="AK718">
        <v>2</v>
      </c>
      <c r="AL718">
        <v>5</v>
      </c>
      <c r="AM718">
        <v>2</v>
      </c>
      <c r="AN718">
        <f t="shared" si="36"/>
        <v>400</v>
      </c>
      <c r="AO718" cm="1">
        <f t="array" ref="AO718">PRODUCT(_xlfn.XLOOKUP(AI718:AM718,$B$3:$B$6,$C$3:$C$6))</f>
        <v>0</v>
      </c>
      <c r="AP718">
        <f t="shared" si="37"/>
        <v>0</v>
      </c>
    </row>
    <row r="719" spans="35:42" x14ac:dyDescent="0.2">
      <c r="AI719">
        <v>4</v>
      </c>
      <c r="AJ719">
        <v>5</v>
      </c>
      <c r="AK719">
        <v>2</v>
      </c>
      <c r="AL719">
        <v>5</v>
      </c>
      <c r="AM719">
        <v>3</v>
      </c>
      <c r="AN719">
        <f t="shared" si="36"/>
        <v>600</v>
      </c>
      <c r="AO719" cm="1">
        <f t="array" ref="AO719">PRODUCT(_xlfn.XLOOKUP(AI719:AM719,$B$3:$B$6,$C$3:$C$6))</f>
        <v>0</v>
      </c>
      <c r="AP719">
        <f t="shared" si="37"/>
        <v>0</v>
      </c>
    </row>
    <row r="720" spans="35:42" x14ac:dyDescent="0.2">
      <c r="AI720">
        <v>4</v>
      </c>
      <c r="AJ720">
        <v>5</v>
      </c>
      <c r="AK720">
        <v>2</v>
      </c>
      <c r="AL720">
        <v>5</v>
      </c>
      <c r="AM720">
        <v>4</v>
      </c>
      <c r="AN720">
        <f t="shared" si="36"/>
        <v>800</v>
      </c>
      <c r="AO720" cm="1">
        <f t="array" ref="AO720">PRODUCT(_xlfn.XLOOKUP(AI720:AM720,$B$3:$B$6,$C$3:$C$6))</f>
        <v>0</v>
      </c>
      <c r="AP720">
        <f t="shared" si="37"/>
        <v>0</v>
      </c>
    </row>
    <row r="721" spans="35:42" x14ac:dyDescent="0.2">
      <c r="AI721">
        <v>4</v>
      </c>
      <c r="AJ721">
        <v>5</v>
      </c>
      <c r="AK721">
        <v>2</v>
      </c>
      <c r="AL721">
        <v>5</v>
      </c>
      <c r="AM721">
        <v>5</v>
      </c>
      <c r="AN721">
        <f t="shared" si="36"/>
        <v>1000</v>
      </c>
      <c r="AO721" cm="1">
        <f t="array" ref="AO721">PRODUCT(_xlfn.XLOOKUP(AI721:AM721,$B$3:$B$6,$C$3:$C$6))</f>
        <v>0</v>
      </c>
      <c r="AP721">
        <f t="shared" si="37"/>
        <v>0</v>
      </c>
    </row>
    <row r="722" spans="35:42" x14ac:dyDescent="0.2">
      <c r="AI722">
        <v>4</v>
      </c>
      <c r="AJ722">
        <v>5</v>
      </c>
      <c r="AK722">
        <v>3</v>
      </c>
      <c r="AL722">
        <v>2</v>
      </c>
      <c r="AM722">
        <v>2</v>
      </c>
      <c r="AN722">
        <f t="shared" si="36"/>
        <v>240</v>
      </c>
      <c r="AO722" cm="1">
        <f t="array" ref="AO722">PRODUCT(_xlfn.XLOOKUP(AI722:AM722,$B$3:$B$6,$C$3:$C$6))</f>
        <v>0</v>
      </c>
      <c r="AP722">
        <f t="shared" si="37"/>
        <v>0</v>
      </c>
    </row>
    <row r="723" spans="35:42" x14ac:dyDescent="0.2">
      <c r="AI723">
        <v>4</v>
      </c>
      <c r="AJ723">
        <v>5</v>
      </c>
      <c r="AK723">
        <v>3</v>
      </c>
      <c r="AL723">
        <v>2</v>
      </c>
      <c r="AM723">
        <v>3</v>
      </c>
      <c r="AN723">
        <f t="shared" si="36"/>
        <v>360</v>
      </c>
      <c r="AO723" cm="1">
        <f t="array" ref="AO723">PRODUCT(_xlfn.XLOOKUP(AI723:AM723,$B$3:$B$6,$C$3:$C$6))</f>
        <v>0</v>
      </c>
      <c r="AP723">
        <f t="shared" si="37"/>
        <v>0</v>
      </c>
    </row>
    <row r="724" spans="35:42" x14ac:dyDescent="0.2">
      <c r="AI724">
        <v>4</v>
      </c>
      <c r="AJ724">
        <v>5</v>
      </c>
      <c r="AK724">
        <v>3</v>
      </c>
      <c r="AL724">
        <v>2</v>
      </c>
      <c r="AM724">
        <v>4</v>
      </c>
      <c r="AN724">
        <f t="shared" si="36"/>
        <v>480</v>
      </c>
      <c r="AO724" cm="1">
        <f t="array" ref="AO724">PRODUCT(_xlfn.XLOOKUP(AI724:AM724,$B$3:$B$6,$C$3:$C$6))</f>
        <v>0</v>
      </c>
      <c r="AP724">
        <f t="shared" si="37"/>
        <v>0</v>
      </c>
    </row>
    <row r="725" spans="35:42" x14ac:dyDescent="0.2">
      <c r="AI725">
        <v>4</v>
      </c>
      <c r="AJ725">
        <v>5</v>
      </c>
      <c r="AK725">
        <v>3</v>
      </c>
      <c r="AL725">
        <v>2</v>
      </c>
      <c r="AM725">
        <v>5</v>
      </c>
      <c r="AN725">
        <f t="shared" si="36"/>
        <v>600</v>
      </c>
      <c r="AO725" cm="1">
        <f t="array" ref="AO725">PRODUCT(_xlfn.XLOOKUP(AI725:AM725,$B$3:$B$6,$C$3:$C$6))</f>
        <v>0</v>
      </c>
      <c r="AP725">
        <f t="shared" si="37"/>
        <v>0</v>
      </c>
    </row>
    <row r="726" spans="35:42" x14ac:dyDescent="0.2">
      <c r="AI726">
        <v>4</v>
      </c>
      <c r="AJ726">
        <v>5</v>
      </c>
      <c r="AK726">
        <v>3</v>
      </c>
      <c r="AL726">
        <v>3</v>
      </c>
      <c r="AM726">
        <v>2</v>
      </c>
      <c r="AN726">
        <f t="shared" si="36"/>
        <v>360</v>
      </c>
      <c r="AO726" cm="1">
        <f t="array" ref="AO726">PRODUCT(_xlfn.XLOOKUP(AI726:AM726,$B$3:$B$6,$C$3:$C$6))</f>
        <v>0</v>
      </c>
      <c r="AP726">
        <f t="shared" si="37"/>
        <v>0</v>
      </c>
    </row>
    <row r="727" spans="35:42" x14ac:dyDescent="0.2">
      <c r="AI727">
        <v>4</v>
      </c>
      <c r="AJ727">
        <v>5</v>
      </c>
      <c r="AK727">
        <v>3</v>
      </c>
      <c r="AL727">
        <v>3</v>
      </c>
      <c r="AM727">
        <v>3</v>
      </c>
      <c r="AN727">
        <f t="shared" si="36"/>
        <v>540</v>
      </c>
      <c r="AO727" cm="1">
        <f t="array" ref="AO727">PRODUCT(_xlfn.XLOOKUP(AI727:AM727,$B$3:$B$6,$C$3:$C$6))</f>
        <v>0</v>
      </c>
      <c r="AP727">
        <f t="shared" si="37"/>
        <v>0</v>
      </c>
    </row>
    <row r="728" spans="35:42" x14ac:dyDescent="0.2">
      <c r="AI728">
        <v>4</v>
      </c>
      <c r="AJ728">
        <v>5</v>
      </c>
      <c r="AK728">
        <v>3</v>
      </c>
      <c r="AL728">
        <v>3</v>
      </c>
      <c r="AM728">
        <v>4</v>
      </c>
      <c r="AN728">
        <f t="shared" si="36"/>
        <v>720</v>
      </c>
      <c r="AO728" cm="1">
        <f t="array" ref="AO728">PRODUCT(_xlfn.XLOOKUP(AI728:AM728,$B$3:$B$6,$C$3:$C$6))</f>
        <v>0</v>
      </c>
      <c r="AP728">
        <f t="shared" si="37"/>
        <v>0</v>
      </c>
    </row>
    <row r="729" spans="35:42" x14ac:dyDescent="0.2">
      <c r="AI729">
        <v>4</v>
      </c>
      <c r="AJ729">
        <v>5</v>
      </c>
      <c r="AK729">
        <v>3</v>
      </c>
      <c r="AL729">
        <v>3</v>
      </c>
      <c r="AM729">
        <v>5</v>
      </c>
      <c r="AN729">
        <f t="shared" si="36"/>
        <v>900</v>
      </c>
      <c r="AO729" cm="1">
        <f t="array" ref="AO729">PRODUCT(_xlfn.XLOOKUP(AI729:AM729,$B$3:$B$6,$C$3:$C$6))</f>
        <v>0</v>
      </c>
      <c r="AP729">
        <f t="shared" si="37"/>
        <v>0</v>
      </c>
    </row>
    <row r="730" spans="35:42" x14ac:dyDescent="0.2">
      <c r="AI730">
        <v>4</v>
      </c>
      <c r="AJ730">
        <v>5</v>
      </c>
      <c r="AK730">
        <v>3</v>
      </c>
      <c r="AL730">
        <v>4</v>
      </c>
      <c r="AM730">
        <v>2</v>
      </c>
      <c r="AN730">
        <f t="shared" si="36"/>
        <v>480</v>
      </c>
      <c r="AO730" cm="1">
        <f t="array" ref="AO730">PRODUCT(_xlfn.XLOOKUP(AI730:AM730,$B$3:$B$6,$C$3:$C$6))</f>
        <v>0</v>
      </c>
      <c r="AP730">
        <f t="shared" si="37"/>
        <v>0</v>
      </c>
    </row>
    <row r="731" spans="35:42" x14ac:dyDescent="0.2">
      <c r="AI731">
        <v>4</v>
      </c>
      <c r="AJ731">
        <v>5</v>
      </c>
      <c r="AK731">
        <v>3</v>
      </c>
      <c r="AL731">
        <v>4</v>
      </c>
      <c r="AM731">
        <v>3</v>
      </c>
      <c r="AN731">
        <f t="shared" si="36"/>
        <v>720</v>
      </c>
      <c r="AO731" cm="1">
        <f t="array" ref="AO731">PRODUCT(_xlfn.XLOOKUP(AI731:AM731,$B$3:$B$6,$C$3:$C$6))</f>
        <v>0</v>
      </c>
      <c r="AP731">
        <f t="shared" si="37"/>
        <v>0</v>
      </c>
    </row>
    <row r="732" spans="35:42" x14ac:dyDescent="0.2">
      <c r="AI732">
        <v>4</v>
      </c>
      <c r="AJ732">
        <v>5</v>
      </c>
      <c r="AK732">
        <v>3</v>
      </c>
      <c r="AL732">
        <v>4</v>
      </c>
      <c r="AM732">
        <v>4</v>
      </c>
      <c r="AN732">
        <f t="shared" si="36"/>
        <v>960</v>
      </c>
      <c r="AO732" cm="1">
        <f t="array" ref="AO732">PRODUCT(_xlfn.XLOOKUP(AI732:AM732,$B$3:$B$6,$C$3:$C$6))</f>
        <v>0</v>
      </c>
      <c r="AP732">
        <f t="shared" si="37"/>
        <v>0</v>
      </c>
    </row>
    <row r="733" spans="35:42" x14ac:dyDescent="0.2">
      <c r="AI733">
        <v>4</v>
      </c>
      <c r="AJ733">
        <v>5</v>
      </c>
      <c r="AK733">
        <v>3</v>
      </c>
      <c r="AL733">
        <v>4</v>
      </c>
      <c r="AM733">
        <v>5</v>
      </c>
      <c r="AN733">
        <f t="shared" si="36"/>
        <v>1200</v>
      </c>
      <c r="AO733" cm="1">
        <f t="array" ref="AO733">PRODUCT(_xlfn.XLOOKUP(AI733:AM733,$B$3:$B$6,$C$3:$C$6))</f>
        <v>0</v>
      </c>
      <c r="AP733">
        <f t="shared" si="37"/>
        <v>0</v>
      </c>
    </row>
    <row r="734" spans="35:42" x14ac:dyDescent="0.2">
      <c r="AI734">
        <v>4</v>
      </c>
      <c r="AJ734">
        <v>5</v>
      </c>
      <c r="AK734">
        <v>3</v>
      </c>
      <c r="AL734">
        <v>5</v>
      </c>
      <c r="AM734">
        <v>2</v>
      </c>
      <c r="AN734">
        <f t="shared" si="36"/>
        <v>600</v>
      </c>
      <c r="AO734" cm="1">
        <f t="array" ref="AO734">PRODUCT(_xlfn.XLOOKUP(AI734:AM734,$B$3:$B$6,$C$3:$C$6))</f>
        <v>0</v>
      </c>
      <c r="AP734">
        <f t="shared" si="37"/>
        <v>0</v>
      </c>
    </row>
    <row r="735" spans="35:42" x14ac:dyDescent="0.2">
      <c r="AI735">
        <v>4</v>
      </c>
      <c r="AJ735">
        <v>5</v>
      </c>
      <c r="AK735">
        <v>3</v>
      </c>
      <c r="AL735">
        <v>5</v>
      </c>
      <c r="AM735">
        <v>3</v>
      </c>
      <c r="AN735">
        <f t="shared" si="36"/>
        <v>900</v>
      </c>
      <c r="AO735" cm="1">
        <f t="array" ref="AO735">PRODUCT(_xlfn.XLOOKUP(AI735:AM735,$B$3:$B$6,$C$3:$C$6))</f>
        <v>0</v>
      </c>
      <c r="AP735">
        <f t="shared" si="37"/>
        <v>0</v>
      </c>
    </row>
    <row r="736" spans="35:42" x14ac:dyDescent="0.2">
      <c r="AI736">
        <v>4</v>
      </c>
      <c r="AJ736">
        <v>5</v>
      </c>
      <c r="AK736">
        <v>3</v>
      </c>
      <c r="AL736">
        <v>5</v>
      </c>
      <c r="AM736">
        <v>4</v>
      </c>
      <c r="AN736">
        <f t="shared" si="36"/>
        <v>1200</v>
      </c>
      <c r="AO736" cm="1">
        <f t="array" ref="AO736">PRODUCT(_xlfn.XLOOKUP(AI736:AM736,$B$3:$B$6,$C$3:$C$6))</f>
        <v>0</v>
      </c>
      <c r="AP736">
        <f t="shared" si="37"/>
        <v>0</v>
      </c>
    </row>
    <row r="737" spans="35:42" x14ac:dyDescent="0.2">
      <c r="AI737">
        <v>4</v>
      </c>
      <c r="AJ737">
        <v>5</v>
      </c>
      <c r="AK737">
        <v>3</v>
      </c>
      <c r="AL737">
        <v>5</v>
      </c>
      <c r="AM737">
        <v>5</v>
      </c>
      <c r="AN737">
        <f t="shared" si="36"/>
        <v>1500</v>
      </c>
      <c r="AO737" cm="1">
        <f t="array" ref="AO737">PRODUCT(_xlfn.XLOOKUP(AI737:AM737,$B$3:$B$6,$C$3:$C$6))</f>
        <v>0</v>
      </c>
      <c r="AP737">
        <f t="shared" si="37"/>
        <v>0</v>
      </c>
    </row>
    <row r="738" spans="35:42" x14ac:dyDescent="0.2">
      <c r="AI738">
        <v>4</v>
      </c>
      <c r="AJ738">
        <v>5</v>
      </c>
      <c r="AK738">
        <v>4</v>
      </c>
      <c r="AL738">
        <v>2</v>
      </c>
      <c r="AM738">
        <v>2</v>
      </c>
      <c r="AN738">
        <f t="shared" si="36"/>
        <v>320</v>
      </c>
      <c r="AO738" cm="1">
        <f t="array" ref="AO738">PRODUCT(_xlfn.XLOOKUP(AI738:AM738,$B$3:$B$6,$C$3:$C$6))</f>
        <v>0</v>
      </c>
      <c r="AP738">
        <f t="shared" si="37"/>
        <v>0</v>
      </c>
    </row>
    <row r="739" spans="35:42" x14ac:dyDescent="0.2">
      <c r="AI739">
        <v>4</v>
      </c>
      <c r="AJ739">
        <v>5</v>
      </c>
      <c r="AK739">
        <v>4</v>
      </c>
      <c r="AL739">
        <v>2</v>
      </c>
      <c r="AM739">
        <v>3</v>
      </c>
      <c r="AN739">
        <f t="shared" si="36"/>
        <v>480</v>
      </c>
      <c r="AO739" cm="1">
        <f t="array" ref="AO739">PRODUCT(_xlfn.XLOOKUP(AI739:AM739,$B$3:$B$6,$C$3:$C$6))</f>
        <v>0</v>
      </c>
      <c r="AP739">
        <f t="shared" si="37"/>
        <v>0</v>
      </c>
    </row>
    <row r="740" spans="35:42" x14ac:dyDescent="0.2">
      <c r="AI740">
        <v>4</v>
      </c>
      <c r="AJ740">
        <v>5</v>
      </c>
      <c r="AK740">
        <v>4</v>
      </c>
      <c r="AL740">
        <v>2</v>
      </c>
      <c r="AM740">
        <v>4</v>
      </c>
      <c r="AN740">
        <f t="shared" si="36"/>
        <v>640</v>
      </c>
      <c r="AO740" cm="1">
        <f t="array" ref="AO740">PRODUCT(_xlfn.XLOOKUP(AI740:AM740,$B$3:$B$6,$C$3:$C$6))</f>
        <v>0</v>
      </c>
      <c r="AP740">
        <f t="shared" si="37"/>
        <v>0</v>
      </c>
    </row>
    <row r="741" spans="35:42" x14ac:dyDescent="0.2">
      <c r="AI741">
        <v>4</v>
      </c>
      <c r="AJ741">
        <v>5</v>
      </c>
      <c r="AK741">
        <v>4</v>
      </c>
      <c r="AL741">
        <v>2</v>
      </c>
      <c r="AM741">
        <v>5</v>
      </c>
      <c r="AN741">
        <f t="shared" si="36"/>
        <v>800</v>
      </c>
      <c r="AO741" cm="1">
        <f t="array" ref="AO741">PRODUCT(_xlfn.XLOOKUP(AI741:AM741,$B$3:$B$6,$C$3:$C$6))</f>
        <v>0</v>
      </c>
      <c r="AP741">
        <f t="shared" si="37"/>
        <v>0</v>
      </c>
    </row>
    <row r="742" spans="35:42" x14ac:dyDescent="0.2">
      <c r="AI742">
        <v>4</v>
      </c>
      <c r="AJ742">
        <v>5</v>
      </c>
      <c r="AK742">
        <v>4</v>
      </c>
      <c r="AL742">
        <v>3</v>
      </c>
      <c r="AM742">
        <v>2</v>
      </c>
      <c r="AN742">
        <f t="shared" si="36"/>
        <v>480</v>
      </c>
      <c r="AO742" cm="1">
        <f t="array" ref="AO742">PRODUCT(_xlfn.XLOOKUP(AI742:AM742,$B$3:$B$6,$C$3:$C$6))</f>
        <v>0</v>
      </c>
      <c r="AP742">
        <f t="shared" si="37"/>
        <v>0</v>
      </c>
    </row>
    <row r="743" spans="35:42" x14ac:dyDescent="0.2">
      <c r="AI743">
        <v>4</v>
      </c>
      <c r="AJ743">
        <v>5</v>
      </c>
      <c r="AK743">
        <v>4</v>
      </c>
      <c r="AL743">
        <v>3</v>
      </c>
      <c r="AM743">
        <v>3</v>
      </c>
      <c r="AN743">
        <f t="shared" si="36"/>
        <v>720</v>
      </c>
      <c r="AO743" cm="1">
        <f t="array" ref="AO743">PRODUCT(_xlfn.XLOOKUP(AI743:AM743,$B$3:$B$6,$C$3:$C$6))</f>
        <v>0</v>
      </c>
      <c r="AP743">
        <f t="shared" si="37"/>
        <v>0</v>
      </c>
    </row>
    <row r="744" spans="35:42" x14ac:dyDescent="0.2">
      <c r="AI744">
        <v>4</v>
      </c>
      <c r="AJ744">
        <v>5</v>
      </c>
      <c r="AK744">
        <v>4</v>
      </c>
      <c r="AL744">
        <v>3</v>
      </c>
      <c r="AM744">
        <v>4</v>
      </c>
      <c r="AN744">
        <f t="shared" si="36"/>
        <v>960</v>
      </c>
      <c r="AO744" cm="1">
        <f t="array" ref="AO744">PRODUCT(_xlfn.XLOOKUP(AI744:AM744,$B$3:$B$6,$C$3:$C$6))</f>
        <v>0</v>
      </c>
      <c r="AP744">
        <f t="shared" si="37"/>
        <v>0</v>
      </c>
    </row>
    <row r="745" spans="35:42" x14ac:dyDescent="0.2">
      <c r="AI745">
        <v>4</v>
      </c>
      <c r="AJ745">
        <v>5</v>
      </c>
      <c r="AK745">
        <v>4</v>
      </c>
      <c r="AL745">
        <v>3</v>
      </c>
      <c r="AM745">
        <v>5</v>
      </c>
      <c r="AN745">
        <f t="shared" si="36"/>
        <v>1200</v>
      </c>
      <c r="AO745" cm="1">
        <f t="array" ref="AO745">PRODUCT(_xlfn.XLOOKUP(AI745:AM745,$B$3:$B$6,$C$3:$C$6))</f>
        <v>0</v>
      </c>
      <c r="AP745">
        <f t="shared" si="37"/>
        <v>0</v>
      </c>
    </row>
    <row r="746" spans="35:42" x14ac:dyDescent="0.2">
      <c r="AI746">
        <v>4</v>
      </c>
      <c r="AJ746">
        <v>5</v>
      </c>
      <c r="AK746">
        <v>4</v>
      </c>
      <c r="AL746">
        <v>4</v>
      </c>
      <c r="AM746">
        <v>2</v>
      </c>
      <c r="AN746">
        <f t="shared" si="36"/>
        <v>640</v>
      </c>
      <c r="AO746" cm="1">
        <f t="array" ref="AO746">PRODUCT(_xlfn.XLOOKUP(AI746:AM746,$B$3:$B$6,$C$3:$C$6))</f>
        <v>0</v>
      </c>
      <c r="AP746">
        <f t="shared" si="37"/>
        <v>0</v>
      </c>
    </row>
    <row r="747" spans="35:42" x14ac:dyDescent="0.2">
      <c r="AI747">
        <v>4</v>
      </c>
      <c r="AJ747">
        <v>5</v>
      </c>
      <c r="AK747">
        <v>4</v>
      </c>
      <c r="AL747">
        <v>4</v>
      </c>
      <c r="AM747">
        <v>3</v>
      </c>
      <c r="AN747">
        <f t="shared" si="36"/>
        <v>960</v>
      </c>
      <c r="AO747" cm="1">
        <f t="array" ref="AO747">PRODUCT(_xlfn.XLOOKUP(AI747:AM747,$B$3:$B$6,$C$3:$C$6))</f>
        <v>0</v>
      </c>
      <c r="AP747">
        <f t="shared" si="37"/>
        <v>0</v>
      </c>
    </row>
    <row r="748" spans="35:42" x14ac:dyDescent="0.2">
      <c r="AI748">
        <v>4</v>
      </c>
      <c r="AJ748">
        <v>5</v>
      </c>
      <c r="AK748">
        <v>4</v>
      </c>
      <c r="AL748">
        <v>4</v>
      </c>
      <c r="AM748">
        <v>4</v>
      </c>
      <c r="AN748">
        <f t="shared" si="36"/>
        <v>1280</v>
      </c>
      <c r="AO748" cm="1">
        <f t="array" ref="AO748">PRODUCT(_xlfn.XLOOKUP(AI748:AM748,$B$3:$B$6,$C$3:$C$6))</f>
        <v>0</v>
      </c>
      <c r="AP748">
        <f t="shared" si="37"/>
        <v>0</v>
      </c>
    </row>
    <row r="749" spans="35:42" x14ac:dyDescent="0.2">
      <c r="AI749">
        <v>4</v>
      </c>
      <c r="AJ749">
        <v>5</v>
      </c>
      <c r="AK749">
        <v>4</v>
      </c>
      <c r="AL749">
        <v>4</v>
      </c>
      <c r="AM749">
        <v>5</v>
      </c>
      <c r="AN749">
        <f t="shared" si="36"/>
        <v>1600</v>
      </c>
      <c r="AO749" cm="1">
        <f t="array" ref="AO749">PRODUCT(_xlfn.XLOOKUP(AI749:AM749,$B$3:$B$6,$C$3:$C$6))</f>
        <v>0</v>
      </c>
      <c r="AP749">
        <f t="shared" si="37"/>
        <v>0</v>
      </c>
    </row>
    <row r="750" spans="35:42" x14ac:dyDescent="0.2">
      <c r="AI750">
        <v>4</v>
      </c>
      <c r="AJ750">
        <v>5</v>
      </c>
      <c r="AK750">
        <v>4</v>
      </c>
      <c r="AL750">
        <v>5</v>
      </c>
      <c r="AM750">
        <v>2</v>
      </c>
      <c r="AN750">
        <f t="shared" si="36"/>
        <v>800</v>
      </c>
      <c r="AO750" cm="1">
        <f t="array" ref="AO750">PRODUCT(_xlfn.XLOOKUP(AI750:AM750,$B$3:$B$6,$C$3:$C$6))</f>
        <v>0</v>
      </c>
      <c r="AP750">
        <f t="shared" si="37"/>
        <v>0</v>
      </c>
    </row>
    <row r="751" spans="35:42" x14ac:dyDescent="0.2">
      <c r="AI751">
        <v>4</v>
      </c>
      <c r="AJ751">
        <v>5</v>
      </c>
      <c r="AK751">
        <v>4</v>
      </c>
      <c r="AL751">
        <v>5</v>
      </c>
      <c r="AM751">
        <v>3</v>
      </c>
      <c r="AN751">
        <f t="shared" si="36"/>
        <v>1200</v>
      </c>
      <c r="AO751" cm="1">
        <f t="array" ref="AO751">PRODUCT(_xlfn.XLOOKUP(AI751:AM751,$B$3:$B$6,$C$3:$C$6))</f>
        <v>0</v>
      </c>
      <c r="AP751">
        <f t="shared" si="37"/>
        <v>0</v>
      </c>
    </row>
    <row r="752" spans="35:42" x14ac:dyDescent="0.2">
      <c r="AI752">
        <v>4</v>
      </c>
      <c r="AJ752">
        <v>5</v>
      </c>
      <c r="AK752">
        <v>4</v>
      </c>
      <c r="AL752">
        <v>5</v>
      </c>
      <c r="AM752">
        <v>4</v>
      </c>
      <c r="AN752">
        <f t="shared" si="36"/>
        <v>1600</v>
      </c>
      <c r="AO752" cm="1">
        <f t="array" ref="AO752">PRODUCT(_xlfn.XLOOKUP(AI752:AM752,$B$3:$B$6,$C$3:$C$6))</f>
        <v>0</v>
      </c>
      <c r="AP752">
        <f t="shared" si="37"/>
        <v>0</v>
      </c>
    </row>
    <row r="753" spans="35:42" x14ac:dyDescent="0.2">
      <c r="AI753">
        <v>4</v>
      </c>
      <c r="AJ753">
        <v>5</v>
      </c>
      <c r="AK753">
        <v>4</v>
      </c>
      <c r="AL753">
        <v>5</v>
      </c>
      <c r="AM753">
        <v>5</v>
      </c>
      <c r="AN753">
        <f t="shared" si="36"/>
        <v>2000</v>
      </c>
      <c r="AO753" cm="1">
        <f t="array" ref="AO753">PRODUCT(_xlfn.XLOOKUP(AI753:AM753,$B$3:$B$6,$C$3:$C$6))</f>
        <v>0</v>
      </c>
      <c r="AP753">
        <f t="shared" si="37"/>
        <v>0</v>
      </c>
    </row>
    <row r="754" spans="35:42" x14ac:dyDescent="0.2">
      <c r="AI754">
        <v>4</v>
      </c>
      <c r="AJ754">
        <v>5</v>
      </c>
      <c r="AK754">
        <v>5</v>
      </c>
      <c r="AL754">
        <v>2</v>
      </c>
      <c r="AM754">
        <v>2</v>
      </c>
      <c r="AN754">
        <f t="shared" si="36"/>
        <v>400</v>
      </c>
      <c r="AO754" cm="1">
        <f t="array" ref="AO754">PRODUCT(_xlfn.XLOOKUP(AI754:AM754,$B$3:$B$6,$C$3:$C$6))</f>
        <v>0</v>
      </c>
      <c r="AP754">
        <f t="shared" si="37"/>
        <v>0</v>
      </c>
    </row>
    <row r="755" spans="35:42" x14ac:dyDescent="0.2">
      <c r="AI755">
        <v>4</v>
      </c>
      <c r="AJ755">
        <v>5</v>
      </c>
      <c r="AK755">
        <v>5</v>
      </c>
      <c r="AL755">
        <v>2</v>
      </c>
      <c r="AM755">
        <v>3</v>
      </c>
      <c r="AN755">
        <f t="shared" si="36"/>
        <v>600</v>
      </c>
      <c r="AO755" cm="1">
        <f t="array" ref="AO755">PRODUCT(_xlfn.XLOOKUP(AI755:AM755,$B$3:$B$6,$C$3:$C$6))</f>
        <v>0</v>
      </c>
      <c r="AP755">
        <f t="shared" si="37"/>
        <v>0</v>
      </c>
    </row>
    <row r="756" spans="35:42" x14ac:dyDescent="0.2">
      <c r="AI756">
        <v>4</v>
      </c>
      <c r="AJ756">
        <v>5</v>
      </c>
      <c r="AK756">
        <v>5</v>
      </c>
      <c r="AL756">
        <v>2</v>
      </c>
      <c r="AM756">
        <v>4</v>
      </c>
      <c r="AN756">
        <f t="shared" si="36"/>
        <v>800</v>
      </c>
      <c r="AO756" cm="1">
        <f t="array" ref="AO756">PRODUCT(_xlfn.XLOOKUP(AI756:AM756,$B$3:$B$6,$C$3:$C$6))</f>
        <v>0</v>
      </c>
      <c r="AP756">
        <f t="shared" si="37"/>
        <v>0</v>
      </c>
    </row>
    <row r="757" spans="35:42" x14ac:dyDescent="0.2">
      <c r="AI757">
        <v>4</v>
      </c>
      <c r="AJ757">
        <v>5</v>
      </c>
      <c r="AK757">
        <v>5</v>
      </c>
      <c r="AL757">
        <v>2</v>
      </c>
      <c r="AM757">
        <v>5</v>
      </c>
      <c r="AN757">
        <f t="shared" si="36"/>
        <v>1000</v>
      </c>
      <c r="AO757" cm="1">
        <f t="array" ref="AO757">PRODUCT(_xlfn.XLOOKUP(AI757:AM757,$B$3:$B$6,$C$3:$C$6))</f>
        <v>0</v>
      </c>
      <c r="AP757">
        <f t="shared" si="37"/>
        <v>0</v>
      </c>
    </row>
    <row r="758" spans="35:42" x14ac:dyDescent="0.2">
      <c r="AI758">
        <v>4</v>
      </c>
      <c r="AJ758">
        <v>5</v>
      </c>
      <c r="AK758">
        <v>5</v>
      </c>
      <c r="AL758">
        <v>3</v>
      </c>
      <c r="AM758">
        <v>2</v>
      </c>
      <c r="AN758">
        <f t="shared" si="36"/>
        <v>600</v>
      </c>
      <c r="AO758" cm="1">
        <f t="array" ref="AO758">PRODUCT(_xlfn.XLOOKUP(AI758:AM758,$B$3:$B$6,$C$3:$C$6))</f>
        <v>0</v>
      </c>
      <c r="AP758">
        <f t="shared" si="37"/>
        <v>0</v>
      </c>
    </row>
    <row r="759" spans="35:42" x14ac:dyDescent="0.2">
      <c r="AI759">
        <v>4</v>
      </c>
      <c r="AJ759">
        <v>5</v>
      </c>
      <c r="AK759">
        <v>5</v>
      </c>
      <c r="AL759">
        <v>3</v>
      </c>
      <c r="AM759">
        <v>3</v>
      </c>
      <c r="AN759">
        <f t="shared" si="36"/>
        <v>900</v>
      </c>
      <c r="AO759" cm="1">
        <f t="array" ref="AO759">PRODUCT(_xlfn.XLOOKUP(AI759:AM759,$B$3:$B$6,$C$3:$C$6))</f>
        <v>0</v>
      </c>
      <c r="AP759">
        <f t="shared" si="37"/>
        <v>0</v>
      </c>
    </row>
    <row r="760" spans="35:42" x14ac:dyDescent="0.2">
      <c r="AI760">
        <v>4</v>
      </c>
      <c r="AJ760">
        <v>5</v>
      </c>
      <c r="AK760">
        <v>5</v>
      </c>
      <c r="AL760">
        <v>3</v>
      </c>
      <c r="AM760">
        <v>4</v>
      </c>
      <c r="AN760">
        <f t="shared" si="36"/>
        <v>1200</v>
      </c>
      <c r="AO760" cm="1">
        <f t="array" ref="AO760">PRODUCT(_xlfn.XLOOKUP(AI760:AM760,$B$3:$B$6,$C$3:$C$6))</f>
        <v>0</v>
      </c>
      <c r="AP760">
        <f t="shared" si="37"/>
        <v>0</v>
      </c>
    </row>
    <row r="761" spans="35:42" x14ac:dyDescent="0.2">
      <c r="AI761">
        <v>4</v>
      </c>
      <c r="AJ761">
        <v>5</v>
      </c>
      <c r="AK761">
        <v>5</v>
      </c>
      <c r="AL761">
        <v>3</v>
      </c>
      <c r="AM761">
        <v>5</v>
      </c>
      <c r="AN761">
        <f t="shared" si="36"/>
        <v>1500</v>
      </c>
      <c r="AO761" cm="1">
        <f t="array" ref="AO761">PRODUCT(_xlfn.XLOOKUP(AI761:AM761,$B$3:$B$6,$C$3:$C$6))</f>
        <v>0</v>
      </c>
      <c r="AP761">
        <f t="shared" si="37"/>
        <v>0</v>
      </c>
    </row>
    <row r="762" spans="35:42" x14ac:dyDescent="0.2">
      <c r="AI762">
        <v>4</v>
      </c>
      <c r="AJ762">
        <v>5</v>
      </c>
      <c r="AK762">
        <v>5</v>
      </c>
      <c r="AL762">
        <v>4</v>
      </c>
      <c r="AM762">
        <v>2</v>
      </c>
      <c r="AN762">
        <f t="shared" si="36"/>
        <v>800</v>
      </c>
      <c r="AO762" cm="1">
        <f t="array" ref="AO762">PRODUCT(_xlfn.XLOOKUP(AI762:AM762,$B$3:$B$6,$C$3:$C$6))</f>
        <v>0</v>
      </c>
      <c r="AP762">
        <f t="shared" si="37"/>
        <v>0</v>
      </c>
    </row>
    <row r="763" spans="35:42" x14ac:dyDescent="0.2">
      <c r="AI763">
        <v>4</v>
      </c>
      <c r="AJ763">
        <v>5</v>
      </c>
      <c r="AK763">
        <v>5</v>
      </c>
      <c r="AL763">
        <v>4</v>
      </c>
      <c r="AM763">
        <v>3</v>
      </c>
      <c r="AN763">
        <f t="shared" si="36"/>
        <v>1200</v>
      </c>
      <c r="AO763" cm="1">
        <f t="array" ref="AO763">PRODUCT(_xlfn.XLOOKUP(AI763:AM763,$B$3:$B$6,$C$3:$C$6))</f>
        <v>0</v>
      </c>
      <c r="AP763">
        <f t="shared" si="37"/>
        <v>0</v>
      </c>
    </row>
    <row r="764" spans="35:42" x14ac:dyDescent="0.2">
      <c r="AI764">
        <v>4</v>
      </c>
      <c r="AJ764">
        <v>5</v>
      </c>
      <c r="AK764">
        <v>5</v>
      </c>
      <c r="AL764">
        <v>4</v>
      </c>
      <c r="AM764">
        <v>4</v>
      </c>
      <c r="AN764">
        <f t="shared" si="36"/>
        <v>1600</v>
      </c>
      <c r="AO764" cm="1">
        <f t="array" ref="AO764">PRODUCT(_xlfn.XLOOKUP(AI764:AM764,$B$3:$B$6,$C$3:$C$6))</f>
        <v>0</v>
      </c>
      <c r="AP764">
        <f t="shared" si="37"/>
        <v>0</v>
      </c>
    </row>
    <row r="765" spans="35:42" x14ac:dyDescent="0.2">
      <c r="AI765">
        <v>4</v>
      </c>
      <c r="AJ765">
        <v>5</v>
      </c>
      <c r="AK765">
        <v>5</v>
      </c>
      <c r="AL765">
        <v>4</v>
      </c>
      <c r="AM765">
        <v>5</v>
      </c>
      <c r="AN765">
        <f t="shared" si="36"/>
        <v>2000</v>
      </c>
      <c r="AO765" cm="1">
        <f t="array" ref="AO765">PRODUCT(_xlfn.XLOOKUP(AI765:AM765,$B$3:$B$6,$C$3:$C$6))</f>
        <v>0</v>
      </c>
      <c r="AP765">
        <f t="shared" si="37"/>
        <v>0</v>
      </c>
    </row>
    <row r="766" spans="35:42" x14ac:dyDescent="0.2">
      <c r="AI766">
        <v>4</v>
      </c>
      <c r="AJ766">
        <v>5</v>
      </c>
      <c r="AK766">
        <v>5</v>
      </c>
      <c r="AL766">
        <v>5</v>
      </c>
      <c r="AM766">
        <v>2</v>
      </c>
      <c r="AN766">
        <f t="shared" si="36"/>
        <v>1000</v>
      </c>
      <c r="AO766" cm="1">
        <f t="array" ref="AO766">PRODUCT(_xlfn.XLOOKUP(AI766:AM766,$B$3:$B$6,$C$3:$C$6))</f>
        <v>0</v>
      </c>
      <c r="AP766">
        <f t="shared" si="37"/>
        <v>0</v>
      </c>
    </row>
    <row r="767" spans="35:42" x14ac:dyDescent="0.2">
      <c r="AI767">
        <v>4</v>
      </c>
      <c r="AJ767">
        <v>5</v>
      </c>
      <c r="AK767">
        <v>5</v>
      </c>
      <c r="AL767">
        <v>5</v>
      </c>
      <c r="AM767">
        <v>3</v>
      </c>
      <c r="AN767">
        <f t="shared" si="36"/>
        <v>1500</v>
      </c>
      <c r="AO767" cm="1">
        <f t="array" ref="AO767">PRODUCT(_xlfn.XLOOKUP(AI767:AM767,$B$3:$B$6,$C$3:$C$6))</f>
        <v>0</v>
      </c>
      <c r="AP767">
        <f t="shared" si="37"/>
        <v>0</v>
      </c>
    </row>
    <row r="768" spans="35:42" x14ac:dyDescent="0.2">
      <c r="AI768">
        <v>4</v>
      </c>
      <c r="AJ768">
        <v>5</v>
      </c>
      <c r="AK768">
        <v>5</v>
      </c>
      <c r="AL768">
        <v>5</v>
      </c>
      <c r="AM768">
        <v>4</v>
      </c>
      <c r="AN768">
        <f t="shared" si="36"/>
        <v>2000</v>
      </c>
      <c r="AO768" cm="1">
        <f t="array" ref="AO768">PRODUCT(_xlfn.XLOOKUP(AI768:AM768,$B$3:$B$6,$C$3:$C$6))</f>
        <v>0</v>
      </c>
      <c r="AP768">
        <f t="shared" si="37"/>
        <v>0</v>
      </c>
    </row>
    <row r="769" spans="35:42" x14ac:dyDescent="0.2">
      <c r="AI769">
        <v>4</v>
      </c>
      <c r="AJ769">
        <v>5</v>
      </c>
      <c r="AK769">
        <v>5</v>
      </c>
      <c r="AL769">
        <v>5</v>
      </c>
      <c r="AM769">
        <v>5</v>
      </c>
      <c r="AN769">
        <f t="shared" si="36"/>
        <v>2500</v>
      </c>
      <c r="AO769" cm="1">
        <f t="array" ref="AO769">PRODUCT(_xlfn.XLOOKUP(AI769:AM769,$B$3:$B$6,$C$3:$C$6))</f>
        <v>0</v>
      </c>
      <c r="AP769">
        <f t="shared" si="37"/>
        <v>0</v>
      </c>
    </row>
    <row r="770" spans="35:42" x14ac:dyDescent="0.2">
      <c r="AI770">
        <v>5</v>
      </c>
      <c r="AJ770">
        <v>2</v>
      </c>
      <c r="AK770">
        <v>2</v>
      </c>
      <c r="AL770">
        <v>2</v>
      </c>
      <c r="AM770">
        <v>2</v>
      </c>
      <c r="AN770">
        <f t="shared" si="36"/>
        <v>80</v>
      </c>
      <c r="AO770" cm="1">
        <f t="array" ref="AO770">PRODUCT(_xlfn.XLOOKUP(AI770:AM770,$B$3:$B$6,$C$3:$C$6))</f>
        <v>2.3327999999999998E-2</v>
      </c>
      <c r="AP770">
        <f t="shared" si="37"/>
        <v>1.8662399999999999</v>
      </c>
    </row>
    <row r="771" spans="35:42" x14ac:dyDescent="0.2">
      <c r="AI771">
        <v>5</v>
      </c>
      <c r="AJ771">
        <v>2</v>
      </c>
      <c r="AK771">
        <v>2</v>
      </c>
      <c r="AL771">
        <v>2</v>
      </c>
      <c r="AM771">
        <v>3</v>
      </c>
      <c r="AN771">
        <f t="shared" ref="AN771:AN834" si="38">PRODUCT(AI771:AM771)</f>
        <v>120</v>
      </c>
      <c r="AO771" cm="1">
        <f t="array" ref="AO771">PRODUCT(_xlfn.XLOOKUP(AI771:AM771,$B$3:$B$6,$C$3:$C$6))</f>
        <v>8.5535999999999997E-3</v>
      </c>
      <c r="AP771">
        <f t="shared" ref="AP771:AP834" si="39">AN771*AO771</f>
        <v>1.026432</v>
      </c>
    </row>
    <row r="772" spans="35:42" x14ac:dyDescent="0.2">
      <c r="AI772">
        <v>5</v>
      </c>
      <c r="AJ772">
        <v>2</v>
      </c>
      <c r="AK772">
        <v>2</v>
      </c>
      <c r="AL772">
        <v>2</v>
      </c>
      <c r="AM772">
        <v>4</v>
      </c>
      <c r="AN772">
        <f t="shared" si="38"/>
        <v>160</v>
      </c>
      <c r="AO772" cm="1">
        <f t="array" ref="AO772">PRODUCT(_xlfn.XLOOKUP(AI772:AM772,$B$3:$B$6,$C$3:$C$6))</f>
        <v>0</v>
      </c>
      <c r="AP772">
        <f t="shared" si="39"/>
        <v>0</v>
      </c>
    </row>
    <row r="773" spans="35:42" x14ac:dyDescent="0.2">
      <c r="AI773">
        <v>5</v>
      </c>
      <c r="AJ773">
        <v>2</v>
      </c>
      <c r="AK773">
        <v>2</v>
      </c>
      <c r="AL773">
        <v>2</v>
      </c>
      <c r="AM773">
        <v>5</v>
      </c>
      <c r="AN773">
        <f t="shared" si="38"/>
        <v>200</v>
      </c>
      <c r="AO773" cm="1">
        <f t="array" ref="AO773">PRODUCT(_xlfn.XLOOKUP(AI773:AM773,$B$3:$B$6,$C$3:$C$6))</f>
        <v>6.9983999999999992E-3</v>
      </c>
      <c r="AP773">
        <f t="shared" si="39"/>
        <v>1.3996799999999998</v>
      </c>
    </row>
    <row r="774" spans="35:42" x14ac:dyDescent="0.2">
      <c r="AI774">
        <v>5</v>
      </c>
      <c r="AJ774">
        <v>2</v>
      </c>
      <c r="AK774">
        <v>2</v>
      </c>
      <c r="AL774">
        <v>3</v>
      </c>
      <c r="AM774">
        <v>2</v>
      </c>
      <c r="AN774">
        <f t="shared" si="38"/>
        <v>120</v>
      </c>
      <c r="AO774" cm="1">
        <f t="array" ref="AO774">PRODUCT(_xlfn.XLOOKUP(AI774:AM774,$B$3:$B$6,$C$3:$C$6))</f>
        <v>8.5535999999999997E-3</v>
      </c>
      <c r="AP774">
        <f t="shared" si="39"/>
        <v>1.026432</v>
      </c>
    </row>
    <row r="775" spans="35:42" x14ac:dyDescent="0.2">
      <c r="AI775">
        <v>5</v>
      </c>
      <c r="AJ775">
        <v>2</v>
      </c>
      <c r="AK775">
        <v>2</v>
      </c>
      <c r="AL775">
        <v>3</v>
      </c>
      <c r="AM775">
        <v>3</v>
      </c>
      <c r="AN775">
        <f t="shared" si="38"/>
        <v>180</v>
      </c>
      <c r="AO775" cm="1">
        <f t="array" ref="AO775">PRODUCT(_xlfn.XLOOKUP(AI775:AM775,$B$3:$B$6,$C$3:$C$6))</f>
        <v>3.1363199999999997E-3</v>
      </c>
      <c r="AP775">
        <f t="shared" si="39"/>
        <v>0.56453759999999997</v>
      </c>
    </row>
    <row r="776" spans="35:42" x14ac:dyDescent="0.2">
      <c r="AI776">
        <v>5</v>
      </c>
      <c r="AJ776">
        <v>2</v>
      </c>
      <c r="AK776">
        <v>2</v>
      </c>
      <c r="AL776">
        <v>3</v>
      </c>
      <c r="AM776">
        <v>4</v>
      </c>
      <c r="AN776">
        <f t="shared" si="38"/>
        <v>240</v>
      </c>
      <c r="AO776" cm="1">
        <f t="array" ref="AO776">PRODUCT(_xlfn.XLOOKUP(AI776:AM776,$B$3:$B$6,$C$3:$C$6))</f>
        <v>0</v>
      </c>
      <c r="AP776">
        <f t="shared" si="39"/>
        <v>0</v>
      </c>
    </row>
    <row r="777" spans="35:42" x14ac:dyDescent="0.2">
      <c r="AI777">
        <v>5</v>
      </c>
      <c r="AJ777">
        <v>2</v>
      </c>
      <c r="AK777">
        <v>2</v>
      </c>
      <c r="AL777">
        <v>3</v>
      </c>
      <c r="AM777">
        <v>5</v>
      </c>
      <c r="AN777">
        <f t="shared" si="38"/>
        <v>300</v>
      </c>
      <c r="AO777" cm="1">
        <f t="array" ref="AO777">PRODUCT(_xlfn.XLOOKUP(AI777:AM777,$B$3:$B$6,$C$3:$C$6))</f>
        <v>2.5660799999999997E-3</v>
      </c>
      <c r="AP777">
        <f t="shared" si="39"/>
        <v>0.76982399999999995</v>
      </c>
    </row>
    <row r="778" spans="35:42" x14ac:dyDescent="0.2">
      <c r="AI778">
        <v>5</v>
      </c>
      <c r="AJ778">
        <v>2</v>
      </c>
      <c r="AK778">
        <v>2</v>
      </c>
      <c r="AL778">
        <v>4</v>
      </c>
      <c r="AM778">
        <v>2</v>
      </c>
      <c r="AN778">
        <f t="shared" si="38"/>
        <v>160</v>
      </c>
      <c r="AO778" cm="1">
        <f t="array" ref="AO778">PRODUCT(_xlfn.XLOOKUP(AI778:AM778,$B$3:$B$6,$C$3:$C$6))</f>
        <v>0</v>
      </c>
      <c r="AP778">
        <f t="shared" si="39"/>
        <v>0</v>
      </c>
    </row>
    <row r="779" spans="35:42" x14ac:dyDescent="0.2">
      <c r="AI779">
        <v>5</v>
      </c>
      <c r="AJ779">
        <v>2</v>
      </c>
      <c r="AK779">
        <v>2</v>
      </c>
      <c r="AL779">
        <v>4</v>
      </c>
      <c r="AM779">
        <v>3</v>
      </c>
      <c r="AN779">
        <f t="shared" si="38"/>
        <v>240</v>
      </c>
      <c r="AO779" cm="1">
        <f t="array" ref="AO779">PRODUCT(_xlfn.XLOOKUP(AI779:AM779,$B$3:$B$6,$C$3:$C$6))</f>
        <v>0</v>
      </c>
      <c r="AP779">
        <f t="shared" si="39"/>
        <v>0</v>
      </c>
    </row>
    <row r="780" spans="35:42" x14ac:dyDescent="0.2">
      <c r="AI780">
        <v>5</v>
      </c>
      <c r="AJ780">
        <v>2</v>
      </c>
      <c r="AK780">
        <v>2</v>
      </c>
      <c r="AL780">
        <v>4</v>
      </c>
      <c r="AM780">
        <v>4</v>
      </c>
      <c r="AN780">
        <f t="shared" si="38"/>
        <v>320</v>
      </c>
      <c r="AO780" cm="1">
        <f t="array" ref="AO780">PRODUCT(_xlfn.XLOOKUP(AI780:AM780,$B$3:$B$6,$C$3:$C$6))</f>
        <v>0</v>
      </c>
      <c r="AP780">
        <f t="shared" si="39"/>
        <v>0</v>
      </c>
    </row>
    <row r="781" spans="35:42" x14ac:dyDescent="0.2">
      <c r="AI781">
        <v>5</v>
      </c>
      <c r="AJ781">
        <v>2</v>
      </c>
      <c r="AK781">
        <v>2</v>
      </c>
      <c r="AL781">
        <v>4</v>
      </c>
      <c r="AM781">
        <v>5</v>
      </c>
      <c r="AN781">
        <f t="shared" si="38"/>
        <v>400</v>
      </c>
      <c r="AO781" cm="1">
        <f t="array" ref="AO781">PRODUCT(_xlfn.XLOOKUP(AI781:AM781,$B$3:$B$6,$C$3:$C$6))</f>
        <v>0</v>
      </c>
      <c r="AP781">
        <f t="shared" si="39"/>
        <v>0</v>
      </c>
    </row>
    <row r="782" spans="35:42" x14ac:dyDescent="0.2">
      <c r="AI782">
        <v>5</v>
      </c>
      <c r="AJ782">
        <v>2</v>
      </c>
      <c r="AK782">
        <v>2</v>
      </c>
      <c r="AL782">
        <v>5</v>
      </c>
      <c r="AM782">
        <v>2</v>
      </c>
      <c r="AN782">
        <f t="shared" si="38"/>
        <v>200</v>
      </c>
      <c r="AO782" cm="1">
        <f t="array" ref="AO782">PRODUCT(_xlfn.XLOOKUP(AI782:AM782,$B$3:$B$6,$C$3:$C$6))</f>
        <v>6.9983999999999992E-3</v>
      </c>
      <c r="AP782">
        <f t="shared" si="39"/>
        <v>1.3996799999999998</v>
      </c>
    </row>
    <row r="783" spans="35:42" x14ac:dyDescent="0.2">
      <c r="AI783">
        <v>5</v>
      </c>
      <c r="AJ783">
        <v>2</v>
      </c>
      <c r="AK783">
        <v>2</v>
      </c>
      <c r="AL783">
        <v>5</v>
      </c>
      <c r="AM783">
        <v>3</v>
      </c>
      <c r="AN783">
        <f t="shared" si="38"/>
        <v>300</v>
      </c>
      <c r="AO783" cm="1">
        <f t="array" ref="AO783">PRODUCT(_xlfn.XLOOKUP(AI783:AM783,$B$3:$B$6,$C$3:$C$6))</f>
        <v>2.5660799999999997E-3</v>
      </c>
      <c r="AP783">
        <f t="shared" si="39"/>
        <v>0.76982399999999995</v>
      </c>
    </row>
    <row r="784" spans="35:42" x14ac:dyDescent="0.2">
      <c r="AI784">
        <v>5</v>
      </c>
      <c r="AJ784">
        <v>2</v>
      </c>
      <c r="AK784">
        <v>2</v>
      </c>
      <c r="AL784">
        <v>5</v>
      </c>
      <c r="AM784">
        <v>4</v>
      </c>
      <c r="AN784">
        <f t="shared" si="38"/>
        <v>400</v>
      </c>
      <c r="AO784" cm="1">
        <f t="array" ref="AO784">PRODUCT(_xlfn.XLOOKUP(AI784:AM784,$B$3:$B$6,$C$3:$C$6))</f>
        <v>0</v>
      </c>
      <c r="AP784">
        <f t="shared" si="39"/>
        <v>0</v>
      </c>
    </row>
    <row r="785" spans="35:42" x14ac:dyDescent="0.2">
      <c r="AI785">
        <v>5</v>
      </c>
      <c r="AJ785">
        <v>2</v>
      </c>
      <c r="AK785">
        <v>2</v>
      </c>
      <c r="AL785">
        <v>5</v>
      </c>
      <c r="AM785">
        <v>5</v>
      </c>
      <c r="AN785">
        <f t="shared" si="38"/>
        <v>500</v>
      </c>
      <c r="AO785" cm="1">
        <f t="array" ref="AO785">PRODUCT(_xlfn.XLOOKUP(AI785:AM785,$B$3:$B$6,$C$3:$C$6))</f>
        <v>2.0995199999999997E-3</v>
      </c>
      <c r="AP785">
        <f t="shared" si="39"/>
        <v>1.0497599999999998</v>
      </c>
    </row>
    <row r="786" spans="35:42" x14ac:dyDescent="0.2">
      <c r="AI786">
        <v>5</v>
      </c>
      <c r="AJ786">
        <v>2</v>
      </c>
      <c r="AK786">
        <v>3</v>
      </c>
      <c r="AL786">
        <v>2</v>
      </c>
      <c r="AM786">
        <v>2</v>
      </c>
      <c r="AN786">
        <f t="shared" si="38"/>
        <v>120</v>
      </c>
      <c r="AO786" cm="1">
        <f t="array" ref="AO786">PRODUCT(_xlfn.XLOOKUP(AI786:AM786,$B$3:$B$6,$C$3:$C$6))</f>
        <v>8.5535999999999997E-3</v>
      </c>
      <c r="AP786">
        <f t="shared" si="39"/>
        <v>1.026432</v>
      </c>
    </row>
    <row r="787" spans="35:42" x14ac:dyDescent="0.2">
      <c r="AI787">
        <v>5</v>
      </c>
      <c r="AJ787">
        <v>2</v>
      </c>
      <c r="AK787">
        <v>3</v>
      </c>
      <c r="AL787">
        <v>2</v>
      </c>
      <c r="AM787">
        <v>3</v>
      </c>
      <c r="AN787">
        <f t="shared" si="38"/>
        <v>180</v>
      </c>
      <c r="AO787" cm="1">
        <f t="array" ref="AO787">PRODUCT(_xlfn.XLOOKUP(AI787:AM787,$B$3:$B$6,$C$3:$C$6))</f>
        <v>3.1363199999999997E-3</v>
      </c>
      <c r="AP787">
        <f t="shared" si="39"/>
        <v>0.56453759999999997</v>
      </c>
    </row>
    <row r="788" spans="35:42" x14ac:dyDescent="0.2">
      <c r="AI788">
        <v>5</v>
      </c>
      <c r="AJ788">
        <v>2</v>
      </c>
      <c r="AK788">
        <v>3</v>
      </c>
      <c r="AL788">
        <v>2</v>
      </c>
      <c r="AM788">
        <v>4</v>
      </c>
      <c r="AN788">
        <f t="shared" si="38"/>
        <v>240</v>
      </c>
      <c r="AO788" cm="1">
        <f t="array" ref="AO788">PRODUCT(_xlfn.XLOOKUP(AI788:AM788,$B$3:$B$6,$C$3:$C$6))</f>
        <v>0</v>
      </c>
      <c r="AP788">
        <f t="shared" si="39"/>
        <v>0</v>
      </c>
    </row>
    <row r="789" spans="35:42" x14ac:dyDescent="0.2">
      <c r="AI789">
        <v>5</v>
      </c>
      <c r="AJ789">
        <v>2</v>
      </c>
      <c r="AK789">
        <v>3</v>
      </c>
      <c r="AL789">
        <v>2</v>
      </c>
      <c r="AM789">
        <v>5</v>
      </c>
      <c r="AN789">
        <f t="shared" si="38"/>
        <v>300</v>
      </c>
      <c r="AO789" cm="1">
        <f t="array" ref="AO789">PRODUCT(_xlfn.XLOOKUP(AI789:AM789,$B$3:$B$6,$C$3:$C$6))</f>
        <v>2.5660799999999997E-3</v>
      </c>
      <c r="AP789">
        <f t="shared" si="39"/>
        <v>0.76982399999999995</v>
      </c>
    </row>
    <row r="790" spans="35:42" x14ac:dyDescent="0.2">
      <c r="AI790">
        <v>5</v>
      </c>
      <c r="AJ790">
        <v>2</v>
      </c>
      <c r="AK790">
        <v>3</v>
      </c>
      <c r="AL790">
        <v>3</v>
      </c>
      <c r="AM790">
        <v>2</v>
      </c>
      <c r="AN790">
        <f t="shared" si="38"/>
        <v>180</v>
      </c>
      <c r="AO790" cm="1">
        <f t="array" ref="AO790">PRODUCT(_xlfn.XLOOKUP(AI790:AM790,$B$3:$B$6,$C$3:$C$6))</f>
        <v>3.1363200000000002E-3</v>
      </c>
      <c r="AP790">
        <f t="shared" si="39"/>
        <v>0.56453760000000008</v>
      </c>
    </row>
    <row r="791" spans="35:42" x14ac:dyDescent="0.2">
      <c r="AI791">
        <v>5</v>
      </c>
      <c r="AJ791">
        <v>2</v>
      </c>
      <c r="AK791">
        <v>3</v>
      </c>
      <c r="AL791">
        <v>3</v>
      </c>
      <c r="AM791">
        <v>3</v>
      </c>
      <c r="AN791">
        <f t="shared" si="38"/>
        <v>270</v>
      </c>
      <c r="AO791" cm="1">
        <f t="array" ref="AO791">PRODUCT(_xlfn.XLOOKUP(AI791:AM791,$B$3:$B$6,$C$3:$C$6))</f>
        <v>1.1499840000000002E-3</v>
      </c>
      <c r="AP791">
        <f t="shared" si="39"/>
        <v>0.31049568000000005</v>
      </c>
    </row>
    <row r="792" spans="35:42" x14ac:dyDescent="0.2">
      <c r="AI792">
        <v>5</v>
      </c>
      <c r="AJ792">
        <v>2</v>
      </c>
      <c r="AK792">
        <v>3</v>
      </c>
      <c r="AL792">
        <v>3</v>
      </c>
      <c r="AM792">
        <v>4</v>
      </c>
      <c r="AN792">
        <f t="shared" si="38"/>
        <v>360</v>
      </c>
      <c r="AO792" cm="1">
        <f t="array" ref="AO792">PRODUCT(_xlfn.XLOOKUP(AI792:AM792,$B$3:$B$6,$C$3:$C$6))</f>
        <v>0</v>
      </c>
      <c r="AP792">
        <f t="shared" si="39"/>
        <v>0</v>
      </c>
    </row>
    <row r="793" spans="35:42" x14ac:dyDescent="0.2">
      <c r="AI793">
        <v>5</v>
      </c>
      <c r="AJ793">
        <v>2</v>
      </c>
      <c r="AK793">
        <v>3</v>
      </c>
      <c r="AL793">
        <v>3</v>
      </c>
      <c r="AM793">
        <v>5</v>
      </c>
      <c r="AN793">
        <f t="shared" si="38"/>
        <v>450</v>
      </c>
      <c r="AO793" cm="1">
        <f t="array" ref="AO793">PRODUCT(_xlfn.XLOOKUP(AI793:AM793,$B$3:$B$6,$C$3:$C$6))</f>
        <v>9.4089600000000009E-4</v>
      </c>
      <c r="AP793">
        <f t="shared" si="39"/>
        <v>0.42340320000000004</v>
      </c>
    </row>
    <row r="794" spans="35:42" x14ac:dyDescent="0.2">
      <c r="AI794">
        <v>5</v>
      </c>
      <c r="AJ794">
        <v>2</v>
      </c>
      <c r="AK794">
        <v>3</v>
      </c>
      <c r="AL794">
        <v>4</v>
      </c>
      <c r="AM794">
        <v>2</v>
      </c>
      <c r="AN794">
        <f t="shared" si="38"/>
        <v>240</v>
      </c>
      <c r="AO794" cm="1">
        <f t="array" ref="AO794">PRODUCT(_xlfn.XLOOKUP(AI794:AM794,$B$3:$B$6,$C$3:$C$6))</f>
        <v>0</v>
      </c>
      <c r="AP794">
        <f t="shared" si="39"/>
        <v>0</v>
      </c>
    </row>
    <row r="795" spans="35:42" x14ac:dyDescent="0.2">
      <c r="AI795">
        <v>5</v>
      </c>
      <c r="AJ795">
        <v>2</v>
      </c>
      <c r="AK795">
        <v>3</v>
      </c>
      <c r="AL795">
        <v>4</v>
      </c>
      <c r="AM795">
        <v>3</v>
      </c>
      <c r="AN795">
        <f t="shared" si="38"/>
        <v>360</v>
      </c>
      <c r="AO795" cm="1">
        <f t="array" ref="AO795">PRODUCT(_xlfn.XLOOKUP(AI795:AM795,$B$3:$B$6,$C$3:$C$6))</f>
        <v>0</v>
      </c>
      <c r="AP795">
        <f t="shared" si="39"/>
        <v>0</v>
      </c>
    </row>
    <row r="796" spans="35:42" x14ac:dyDescent="0.2">
      <c r="AI796">
        <v>5</v>
      </c>
      <c r="AJ796">
        <v>2</v>
      </c>
      <c r="AK796">
        <v>3</v>
      </c>
      <c r="AL796">
        <v>4</v>
      </c>
      <c r="AM796">
        <v>4</v>
      </c>
      <c r="AN796">
        <f t="shared" si="38"/>
        <v>480</v>
      </c>
      <c r="AO796" cm="1">
        <f t="array" ref="AO796">PRODUCT(_xlfn.XLOOKUP(AI796:AM796,$B$3:$B$6,$C$3:$C$6))</f>
        <v>0</v>
      </c>
      <c r="AP796">
        <f t="shared" si="39"/>
        <v>0</v>
      </c>
    </row>
    <row r="797" spans="35:42" x14ac:dyDescent="0.2">
      <c r="AI797">
        <v>5</v>
      </c>
      <c r="AJ797">
        <v>2</v>
      </c>
      <c r="AK797">
        <v>3</v>
      </c>
      <c r="AL797">
        <v>4</v>
      </c>
      <c r="AM797">
        <v>5</v>
      </c>
      <c r="AN797">
        <f t="shared" si="38"/>
        <v>600</v>
      </c>
      <c r="AO797" cm="1">
        <f t="array" ref="AO797">PRODUCT(_xlfn.XLOOKUP(AI797:AM797,$B$3:$B$6,$C$3:$C$6))</f>
        <v>0</v>
      </c>
      <c r="AP797">
        <f t="shared" si="39"/>
        <v>0</v>
      </c>
    </row>
    <row r="798" spans="35:42" x14ac:dyDescent="0.2">
      <c r="AI798">
        <v>5</v>
      </c>
      <c r="AJ798">
        <v>2</v>
      </c>
      <c r="AK798">
        <v>3</v>
      </c>
      <c r="AL798">
        <v>5</v>
      </c>
      <c r="AM798">
        <v>2</v>
      </c>
      <c r="AN798">
        <f t="shared" si="38"/>
        <v>300</v>
      </c>
      <c r="AO798" cm="1">
        <f t="array" ref="AO798">PRODUCT(_xlfn.XLOOKUP(AI798:AM798,$B$3:$B$6,$C$3:$C$6))</f>
        <v>2.5660799999999997E-3</v>
      </c>
      <c r="AP798">
        <f t="shared" si="39"/>
        <v>0.76982399999999995</v>
      </c>
    </row>
    <row r="799" spans="35:42" x14ac:dyDescent="0.2">
      <c r="AI799">
        <v>5</v>
      </c>
      <c r="AJ799">
        <v>2</v>
      </c>
      <c r="AK799">
        <v>3</v>
      </c>
      <c r="AL799">
        <v>5</v>
      </c>
      <c r="AM799">
        <v>3</v>
      </c>
      <c r="AN799">
        <f t="shared" si="38"/>
        <v>450</v>
      </c>
      <c r="AO799" cm="1">
        <f t="array" ref="AO799">PRODUCT(_xlfn.XLOOKUP(AI799:AM799,$B$3:$B$6,$C$3:$C$6))</f>
        <v>9.4089599999999998E-4</v>
      </c>
      <c r="AP799">
        <f t="shared" si="39"/>
        <v>0.42340319999999998</v>
      </c>
    </row>
    <row r="800" spans="35:42" x14ac:dyDescent="0.2">
      <c r="AI800">
        <v>5</v>
      </c>
      <c r="AJ800">
        <v>2</v>
      </c>
      <c r="AK800">
        <v>3</v>
      </c>
      <c r="AL800">
        <v>5</v>
      </c>
      <c r="AM800">
        <v>4</v>
      </c>
      <c r="AN800">
        <f t="shared" si="38"/>
        <v>600</v>
      </c>
      <c r="AO800" cm="1">
        <f t="array" ref="AO800">PRODUCT(_xlfn.XLOOKUP(AI800:AM800,$B$3:$B$6,$C$3:$C$6))</f>
        <v>0</v>
      </c>
      <c r="AP800">
        <f t="shared" si="39"/>
        <v>0</v>
      </c>
    </row>
    <row r="801" spans="35:42" x14ac:dyDescent="0.2">
      <c r="AI801">
        <v>5</v>
      </c>
      <c r="AJ801">
        <v>2</v>
      </c>
      <c r="AK801">
        <v>3</v>
      </c>
      <c r="AL801">
        <v>5</v>
      </c>
      <c r="AM801">
        <v>5</v>
      </c>
      <c r="AN801">
        <f t="shared" si="38"/>
        <v>750</v>
      </c>
      <c r="AO801" cm="1">
        <f t="array" ref="AO801">PRODUCT(_xlfn.XLOOKUP(AI801:AM801,$B$3:$B$6,$C$3:$C$6))</f>
        <v>7.698239999999999E-4</v>
      </c>
      <c r="AP801">
        <f t="shared" si="39"/>
        <v>0.57736799999999988</v>
      </c>
    </row>
    <row r="802" spans="35:42" x14ac:dyDescent="0.2">
      <c r="AI802">
        <v>5</v>
      </c>
      <c r="AJ802">
        <v>2</v>
      </c>
      <c r="AK802">
        <v>4</v>
      </c>
      <c r="AL802">
        <v>2</v>
      </c>
      <c r="AM802">
        <v>2</v>
      </c>
      <c r="AN802">
        <f t="shared" si="38"/>
        <v>160</v>
      </c>
      <c r="AO802" cm="1">
        <f t="array" ref="AO802">PRODUCT(_xlfn.XLOOKUP(AI802:AM802,$B$3:$B$6,$C$3:$C$6))</f>
        <v>0</v>
      </c>
      <c r="AP802">
        <f t="shared" si="39"/>
        <v>0</v>
      </c>
    </row>
    <row r="803" spans="35:42" x14ac:dyDescent="0.2">
      <c r="AI803">
        <v>5</v>
      </c>
      <c r="AJ803">
        <v>2</v>
      </c>
      <c r="AK803">
        <v>4</v>
      </c>
      <c r="AL803">
        <v>2</v>
      </c>
      <c r="AM803">
        <v>3</v>
      </c>
      <c r="AN803">
        <f t="shared" si="38"/>
        <v>240</v>
      </c>
      <c r="AO803" cm="1">
        <f t="array" ref="AO803">PRODUCT(_xlfn.XLOOKUP(AI803:AM803,$B$3:$B$6,$C$3:$C$6))</f>
        <v>0</v>
      </c>
      <c r="AP803">
        <f t="shared" si="39"/>
        <v>0</v>
      </c>
    </row>
    <row r="804" spans="35:42" x14ac:dyDescent="0.2">
      <c r="AI804">
        <v>5</v>
      </c>
      <c r="AJ804">
        <v>2</v>
      </c>
      <c r="AK804">
        <v>4</v>
      </c>
      <c r="AL804">
        <v>2</v>
      </c>
      <c r="AM804">
        <v>4</v>
      </c>
      <c r="AN804">
        <f t="shared" si="38"/>
        <v>320</v>
      </c>
      <c r="AO804" cm="1">
        <f t="array" ref="AO804">PRODUCT(_xlfn.XLOOKUP(AI804:AM804,$B$3:$B$6,$C$3:$C$6))</f>
        <v>0</v>
      </c>
      <c r="AP804">
        <f t="shared" si="39"/>
        <v>0</v>
      </c>
    </row>
    <row r="805" spans="35:42" x14ac:dyDescent="0.2">
      <c r="AI805">
        <v>5</v>
      </c>
      <c r="AJ805">
        <v>2</v>
      </c>
      <c r="AK805">
        <v>4</v>
      </c>
      <c r="AL805">
        <v>2</v>
      </c>
      <c r="AM805">
        <v>5</v>
      </c>
      <c r="AN805">
        <f t="shared" si="38"/>
        <v>400</v>
      </c>
      <c r="AO805" cm="1">
        <f t="array" ref="AO805">PRODUCT(_xlfn.XLOOKUP(AI805:AM805,$B$3:$B$6,$C$3:$C$6))</f>
        <v>0</v>
      </c>
      <c r="AP805">
        <f t="shared" si="39"/>
        <v>0</v>
      </c>
    </row>
    <row r="806" spans="35:42" x14ac:dyDescent="0.2">
      <c r="AI806">
        <v>5</v>
      </c>
      <c r="AJ806">
        <v>2</v>
      </c>
      <c r="AK806">
        <v>4</v>
      </c>
      <c r="AL806">
        <v>3</v>
      </c>
      <c r="AM806">
        <v>2</v>
      </c>
      <c r="AN806">
        <f t="shared" si="38"/>
        <v>240</v>
      </c>
      <c r="AO806" cm="1">
        <f t="array" ref="AO806">PRODUCT(_xlfn.XLOOKUP(AI806:AM806,$B$3:$B$6,$C$3:$C$6))</f>
        <v>0</v>
      </c>
      <c r="AP806">
        <f t="shared" si="39"/>
        <v>0</v>
      </c>
    </row>
    <row r="807" spans="35:42" x14ac:dyDescent="0.2">
      <c r="AI807">
        <v>5</v>
      </c>
      <c r="AJ807">
        <v>2</v>
      </c>
      <c r="AK807">
        <v>4</v>
      </c>
      <c r="AL807">
        <v>3</v>
      </c>
      <c r="AM807">
        <v>3</v>
      </c>
      <c r="AN807">
        <f t="shared" si="38"/>
        <v>360</v>
      </c>
      <c r="AO807" cm="1">
        <f t="array" ref="AO807">PRODUCT(_xlfn.XLOOKUP(AI807:AM807,$B$3:$B$6,$C$3:$C$6))</f>
        <v>0</v>
      </c>
      <c r="AP807">
        <f t="shared" si="39"/>
        <v>0</v>
      </c>
    </row>
    <row r="808" spans="35:42" x14ac:dyDescent="0.2">
      <c r="AI808">
        <v>5</v>
      </c>
      <c r="AJ808">
        <v>2</v>
      </c>
      <c r="AK808">
        <v>4</v>
      </c>
      <c r="AL808">
        <v>3</v>
      </c>
      <c r="AM808">
        <v>4</v>
      </c>
      <c r="AN808">
        <f t="shared" si="38"/>
        <v>480</v>
      </c>
      <c r="AO808" cm="1">
        <f t="array" ref="AO808">PRODUCT(_xlfn.XLOOKUP(AI808:AM808,$B$3:$B$6,$C$3:$C$6))</f>
        <v>0</v>
      </c>
      <c r="AP808">
        <f t="shared" si="39"/>
        <v>0</v>
      </c>
    </row>
    <row r="809" spans="35:42" x14ac:dyDescent="0.2">
      <c r="AI809">
        <v>5</v>
      </c>
      <c r="AJ809">
        <v>2</v>
      </c>
      <c r="AK809">
        <v>4</v>
      </c>
      <c r="AL809">
        <v>3</v>
      </c>
      <c r="AM809">
        <v>5</v>
      </c>
      <c r="AN809">
        <f t="shared" si="38"/>
        <v>600</v>
      </c>
      <c r="AO809" cm="1">
        <f t="array" ref="AO809">PRODUCT(_xlfn.XLOOKUP(AI809:AM809,$B$3:$B$6,$C$3:$C$6))</f>
        <v>0</v>
      </c>
      <c r="AP809">
        <f t="shared" si="39"/>
        <v>0</v>
      </c>
    </row>
    <row r="810" spans="35:42" x14ac:dyDescent="0.2">
      <c r="AI810">
        <v>5</v>
      </c>
      <c r="AJ810">
        <v>2</v>
      </c>
      <c r="AK810">
        <v>4</v>
      </c>
      <c r="AL810">
        <v>4</v>
      </c>
      <c r="AM810">
        <v>2</v>
      </c>
      <c r="AN810">
        <f t="shared" si="38"/>
        <v>320</v>
      </c>
      <c r="AO810" cm="1">
        <f t="array" ref="AO810">PRODUCT(_xlfn.XLOOKUP(AI810:AM810,$B$3:$B$6,$C$3:$C$6))</f>
        <v>0</v>
      </c>
      <c r="AP810">
        <f t="shared" si="39"/>
        <v>0</v>
      </c>
    </row>
    <row r="811" spans="35:42" x14ac:dyDescent="0.2">
      <c r="AI811">
        <v>5</v>
      </c>
      <c r="AJ811">
        <v>2</v>
      </c>
      <c r="AK811">
        <v>4</v>
      </c>
      <c r="AL811">
        <v>4</v>
      </c>
      <c r="AM811">
        <v>3</v>
      </c>
      <c r="AN811">
        <f t="shared" si="38"/>
        <v>480</v>
      </c>
      <c r="AO811" cm="1">
        <f t="array" ref="AO811">PRODUCT(_xlfn.XLOOKUP(AI811:AM811,$B$3:$B$6,$C$3:$C$6))</f>
        <v>0</v>
      </c>
      <c r="AP811">
        <f t="shared" si="39"/>
        <v>0</v>
      </c>
    </row>
    <row r="812" spans="35:42" x14ac:dyDescent="0.2">
      <c r="AI812">
        <v>5</v>
      </c>
      <c r="AJ812">
        <v>2</v>
      </c>
      <c r="AK812">
        <v>4</v>
      </c>
      <c r="AL812">
        <v>4</v>
      </c>
      <c r="AM812">
        <v>4</v>
      </c>
      <c r="AN812">
        <f t="shared" si="38"/>
        <v>640</v>
      </c>
      <c r="AO812" cm="1">
        <f t="array" ref="AO812">PRODUCT(_xlfn.XLOOKUP(AI812:AM812,$B$3:$B$6,$C$3:$C$6))</f>
        <v>0</v>
      </c>
      <c r="AP812">
        <f t="shared" si="39"/>
        <v>0</v>
      </c>
    </row>
    <row r="813" spans="35:42" x14ac:dyDescent="0.2">
      <c r="AI813">
        <v>5</v>
      </c>
      <c r="AJ813">
        <v>2</v>
      </c>
      <c r="AK813">
        <v>4</v>
      </c>
      <c r="AL813">
        <v>4</v>
      </c>
      <c r="AM813">
        <v>5</v>
      </c>
      <c r="AN813">
        <f t="shared" si="38"/>
        <v>800</v>
      </c>
      <c r="AO813" cm="1">
        <f t="array" ref="AO813">PRODUCT(_xlfn.XLOOKUP(AI813:AM813,$B$3:$B$6,$C$3:$C$6))</f>
        <v>0</v>
      </c>
      <c r="AP813">
        <f t="shared" si="39"/>
        <v>0</v>
      </c>
    </row>
    <row r="814" spans="35:42" x14ac:dyDescent="0.2">
      <c r="AI814">
        <v>5</v>
      </c>
      <c r="AJ814">
        <v>2</v>
      </c>
      <c r="AK814">
        <v>4</v>
      </c>
      <c r="AL814">
        <v>5</v>
      </c>
      <c r="AM814">
        <v>2</v>
      </c>
      <c r="AN814">
        <f t="shared" si="38"/>
        <v>400</v>
      </c>
      <c r="AO814" cm="1">
        <f t="array" ref="AO814">PRODUCT(_xlfn.XLOOKUP(AI814:AM814,$B$3:$B$6,$C$3:$C$6))</f>
        <v>0</v>
      </c>
      <c r="AP814">
        <f t="shared" si="39"/>
        <v>0</v>
      </c>
    </row>
    <row r="815" spans="35:42" x14ac:dyDescent="0.2">
      <c r="AI815">
        <v>5</v>
      </c>
      <c r="AJ815">
        <v>2</v>
      </c>
      <c r="AK815">
        <v>4</v>
      </c>
      <c r="AL815">
        <v>5</v>
      </c>
      <c r="AM815">
        <v>3</v>
      </c>
      <c r="AN815">
        <f t="shared" si="38"/>
        <v>600</v>
      </c>
      <c r="AO815" cm="1">
        <f t="array" ref="AO815">PRODUCT(_xlfn.XLOOKUP(AI815:AM815,$B$3:$B$6,$C$3:$C$6))</f>
        <v>0</v>
      </c>
      <c r="AP815">
        <f t="shared" si="39"/>
        <v>0</v>
      </c>
    </row>
    <row r="816" spans="35:42" x14ac:dyDescent="0.2">
      <c r="AI816">
        <v>5</v>
      </c>
      <c r="AJ816">
        <v>2</v>
      </c>
      <c r="AK816">
        <v>4</v>
      </c>
      <c r="AL816">
        <v>5</v>
      </c>
      <c r="AM816">
        <v>4</v>
      </c>
      <c r="AN816">
        <f t="shared" si="38"/>
        <v>800</v>
      </c>
      <c r="AO816" cm="1">
        <f t="array" ref="AO816">PRODUCT(_xlfn.XLOOKUP(AI816:AM816,$B$3:$B$6,$C$3:$C$6))</f>
        <v>0</v>
      </c>
      <c r="AP816">
        <f t="shared" si="39"/>
        <v>0</v>
      </c>
    </row>
    <row r="817" spans="35:42" x14ac:dyDescent="0.2">
      <c r="AI817">
        <v>5</v>
      </c>
      <c r="AJ817">
        <v>2</v>
      </c>
      <c r="AK817">
        <v>4</v>
      </c>
      <c r="AL817">
        <v>5</v>
      </c>
      <c r="AM817">
        <v>5</v>
      </c>
      <c r="AN817">
        <f t="shared" si="38"/>
        <v>1000</v>
      </c>
      <c r="AO817" cm="1">
        <f t="array" ref="AO817">PRODUCT(_xlfn.XLOOKUP(AI817:AM817,$B$3:$B$6,$C$3:$C$6))</f>
        <v>0</v>
      </c>
      <c r="AP817">
        <f t="shared" si="39"/>
        <v>0</v>
      </c>
    </row>
    <row r="818" spans="35:42" x14ac:dyDescent="0.2">
      <c r="AI818">
        <v>5</v>
      </c>
      <c r="AJ818">
        <v>2</v>
      </c>
      <c r="AK818">
        <v>5</v>
      </c>
      <c r="AL818">
        <v>2</v>
      </c>
      <c r="AM818">
        <v>2</v>
      </c>
      <c r="AN818">
        <f t="shared" si="38"/>
        <v>200</v>
      </c>
      <c r="AO818" cm="1">
        <f t="array" ref="AO818">PRODUCT(_xlfn.XLOOKUP(AI818:AM818,$B$3:$B$6,$C$3:$C$6))</f>
        <v>6.9983999999999992E-3</v>
      </c>
      <c r="AP818">
        <f t="shared" si="39"/>
        <v>1.3996799999999998</v>
      </c>
    </row>
    <row r="819" spans="35:42" x14ac:dyDescent="0.2">
      <c r="AI819">
        <v>5</v>
      </c>
      <c r="AJ819">
        <v>2</v>
      </c>
      <c r="AK819">
        <v>5</v>
      </c>
      <c r="AL819">
        <v>2</v>
      </c>
      <c r="AM819">
        <v>3</v>
      </c>
      <c r="AN819">
        <f t="shared" si="38"/>
        <v>300</v>
      </c>
      <c r="AO819" cm="1">
        <f t="array" ref="AO819">PRODUCT(_xlfn.XLOOKUP(AI819:AM819,$B$3:$B$6,$C$3:$C$6))</f>
        <v>2.5660799999999997E-3</v>
      </c>
      <c r="AP819">
        <f t="shared" si="39"/>
        <v>0.76982399999999995</v>
      </c>
    </row>
    <row r="820" spans="35:42" x14ac:dyDescent="0.2">
      <c r="AI820">
        <v>5</v>
      </c>
      <c r="AJ820">
        <v>2</v>
      </c>
      <c r="AK820">
        <v>5</v>
      </c>
      <c r="AL820">
        <v>2</v>
      </c>
      <c r="AM820">
        <v>4</v>
      </c>
      <c r="AN820">
        <f t="shared" si="38"/>
        <v>400</v>
      </c>
      <c r="AO820" cm="1">
        <f t="array" ref="AO820">PRODUCT(_xlfn.XLOOKUP(AI820:AM820,$B$3:$B$6,$C$3:$C$6))</f>
        <v>0</v>
      </c>
      <c r="AP820">
        <f t="shared" si="39"/>
        <v>0</v>
      </c>
    </row>
    <row r="821" spans="35:42" x14ac:dyDescent="0.2">
      <c r="AI821">
        <v>5</v>
      </c>
      <c r="AJ821">
        <v>2</v>
      </c>
      <c r="AK821">
        <v>5</v>
      </c>
      <c r="AL821">
        <v>2</v>
      </c>
      <c r="AM821">
        <v>5</v>
      </c>
      <c r="AN821">
        <f t="shared" si="38"/>
        <v>500</v>
      </c>
      <c r="AO821" cm="1">
        <f t="array" ref="AO821">PRODUCT(_xlfn.XLOOKUP(AI821:AM821,$B$3:$B$6,$C$3:$C$6))</f>
        <v>2.0995199999999997E-3</v>
      </c>
      <c r="AP821">
        <f t="shared" si="39"/>
        <v>1.0497599999999998</v>
      </c>
    </row>
    <row r="822" spans="35:42" x14ac:dyDescent="0.2">
      <c r="AI822">
        <v>5</v>
      </c>
      <c r="AJ822">
        <v>2</v>
      </c>
      <c r="AK822">
        <v>5</v>
      </c>
      <c r="AL822">
        <v>3</v>
      </c>
      <c r="AM822">
        <v>2</v>
      </c>
      <c r="AN822">
        <f t="shared" si="38"/>
        <v>300</v>
      </c>
      <c r="AO822" cm="1">
        <f t="array" ref="AO822">PRODUCT(_xlfn.XLOOKUP(AI822:AM822,$B$3:$B$6,$C$3:$C$6))</f>
        <v>2.5660799999999997E-3</v>
      </c>
      <c r="AP822">
        <f t="shared" si="39"/>
        <v>0.76982399999999995</v>
      </c>
    </row>
    <row r="823" spans="35:42" x14ac:dyDescent="0.2">
      <c r="AI823">
        <v>5</v>
      </c>
      <c r="AJ823">
        <v>2</v>
      </c>
      <c r="AK823">
        <v>5</v>
      </c>
      <c r="AL823">
        <v>3</v>
      </c>
      <c r="AM823">
        <v>3</v>
      </c>
      <c r="AN823">
        <f t="shared" si="38"/>
        <v>450</v>
      </c>
      <c r="AO823" cm="1">
        <f t="array" ref="AO823">PRODUCT(_xlfn.XLOOKUP(AI823:AM823,$B$3:$B$6,$C$3:$C$6))</f>
        <v>9.4089599999999998E-4</v>
      </c>
      <c r="AP823">
        <f t="shared" si="39"/>
        <v>0.42340319999999998</v>
      </c>
    </row>
    <row r="824" spans="35:42" x14ac:dyDescent="0.2">
      <c r="AI824">
        <v>5</v>
      </c>
      <c r="AJ824">
        <v>2</v>
      </c>
      <c r="AK824">
        <v>5</v>
      </c>
      <c r="AL824">
        <v>3</v>
      </c>
      <c r="AM824">
        <v>4</v>
      </c>
      <c r="AN824">
        <f t="shared" si="38"/>
        <v>600</v>
      </c>
      <c r="AO824" cm="1">
        <f t="array" ref="AO824">PRODUCT(_xlfn.XLOOKUP(AI824:AM824,$B$3:$B$6,$C$3:$C$6))</f>
        <v>0</v>
      </c>
      <c r="AP824">
        <f t="shared" si="39"/>
        <v>0</v>
      </c>
    </row>
    <row r="825" spans="35:42" x14ac:dyDescent="0.2">
      <c r="AI825">
        <v>5</v>
      </c>
      <c r="AJ825">
        <v>2</v>
      </c>
      <c r="AK825">
        <v>5</v>
      </c>
      <c r="AL825">
        <v>3</v>
      </c>
      <c r="AM825">
        <v>5</v>
      </c>
      <c r="AN825">
        <f t="shared" si="38"/>
        <v>750</v>
      </c>
      <c r="AO825" cm="1">
        <f t="array" ref="AO825">PRODUCT(_xlfn.XLOOKUP(AI825:AM825,$B$3:$B$6,$C$3:$C$6))</f>
        <v>7.698239999999999E-4</v>
      </c>
      <c r="AP825">
        <f t="shared" si="39"/>
        <v>0.57736799999999988</v>
      </c>
    </row>
    <row r="826" spans="35:42" x14ac:dyDescent="0.2">
      <c r="AI826">
        <v>5</v>
      </c>
      <c r="AJ826">
        <v>2</v>
      </c>
      <c r="AK826">
        <v>5</v>
      </c>
      <c r="AL826">
        <v>4</v>
      </c>
      <c r="AM826">
        <v>2</v>
      </c>
      <c r="AN826">
        <f t="shared" si="38"/>
        <v>400</v>
      </c>
      <c r="AO826" cm="1">
        <f t="array" ref="AO826">PRODUCT(_xlfn.XLOOKUP(AI826:AM826,$B$3:$B$6,$C$3:$C$6))</f>
        <v>0</v>
      </c>
      <c r="AP826">
        <f t="shared" si="39"/>
        <v>0</v>
      </c>
    </row>
    <row r="827" spans="35:42" x14ac:dyDescent="0.2">
      <c r="AI827">
        <v>5</v>
      </c>
      <c r="AJ827">
        <v>2</v>
      </c>
      <c r="AK827">
        <v>5</v>
      </c>
      <c r="AL827">
        <v>4</v>
      </c>
      <c r="AM827">
        <v>3</v>
      </c>
      <c r="AN827">
        <f t="shared" si="38"/>
        <v>600</v>
      </c>
      <c r="AO827" cm="1">
        <f t="array" ref="AO827">PRODUCT(_xlfn.XLOOKUP(AI827:AM827,$B$3:$B$6,$C$3:$C$6))</f>
        <v>0</v>
      </c>
      <c r="AP827">
        <f t="shared" si="39"/>
        <v>0</v>
      </c>
    </row>
    <row r="828" spans="35:42" x14ac:dyDescent="0.2">
      <c r="AI828">
        <v>5</v>
      </c>
      <c r="AJ828">
        <v>2</v>
      </c>
      <c r="AK828">
        <v>5</v>
      </c>
      <c r="AL828">
        <v>4</v>
      </c>
      <c r="AM828">
        <v>4</v>
      </c>
      <c r="AN828">
        <f t="shared" si="38"/>
        <v>800</v>
      </c>
      <c r="AO828" cm="1">
        <f t="array" ref="AO828">PRODUCT(_xlfn.XLOOKUP(AI828:AM828,$B$3:$B$6,$C$3:$C$6))</f>
        <v>0</v>
      </c>
      <c r="AP828">
        <f t="shared" si="39"/>
        <v>0</v>
      </c>
    </row>
    <row r="829" spans="35:42" x14ac:dyDescent="0.2">
      <c r="AI829">
        <v>5</v>
      </c>
      <c r="AJ829">
        <v>2</v>
      </c>
      <c r="AK829">
        <v>5</v>
      </c>
      <c r="AL829">
        <v>4</v>
      </c>
      <c r="AM829">
        <v>5</v>
      </c>
      <c r="AN829">
        <f t="shared" si="38"/>
        <v>1000</v>
      </c>
      <c r="AO829" cm="1">
        <f t="array" ref="AO829">PRODUCT(_xlfn.XLOOKUP(AI829:AM829,$B$3:$B$6,$C$3:$C$6))</f>
        <v>0</v>
      </c>
      <c r="AP829">
        <f t="shared" si="39"/>
        <v>0</v>
      </c>
    </row>
    <row r="830" spans="35:42" x14ac:dyDescent="0.2">
      <c r="AI830">
        <v>5</v>
      </c>
      <c r="AJ830">
        <v>2</v>
      </c>
      <c r="AK830">
        <v>5</v>
      </c>
      <c r="AL830">
        <v>5</v>
      </c>
      <c r="AM830">
        <v>2</v>
      </c>
      <c r="AN830">
        <f t="shared" si="38"/>
        <v>500</v>
      </c>
      <c r="AO830" cm="1">
        <f t="array" ref="AO830">PRODUCT(_xlfn.XLOOKUP(AI830:AM830,$B$3:$B$6,$C$3:$C$6))</f>
        <v>2.0995199999999997E-3</v>
      </c>
      <c r="AP830">
        <f t="shared" si="39"/>
        <v>1.0497599999999998</v>
      </c>
    </row>
    <row r="831" spans="35:42" x14ac:dyDescent="0.2">
      <c r="AI831">
        <v>5</v>
      </c>
      <c r="AJ831">
        <v>2</v>
      </c>
      <c r="AK831">
        <v>5</v>
      </c>
      <c r="AL831">
        <v>5</v>
      </c>
      <c r="AM831">
        <v>3</v>
      </c>
      <c r="AN831">
        <f t="shared" si="38"/>
        <v>750</v>
      </c>
      <c r="AO831" cm="1">
        <f t="array" ref="AO831">PRODUCT(_xlfn.XLOOKUP(AI831:AM831,$B$3:$B$6,$C$3:$C$6))</f>
        <v>7.698239999999999E-4</v>
      </c>
      <c r="AP831">
        <f t="shared" si="39"/>
        <v>0.57736799999999988</v>
      </c>
    </row>
    <row r="832" spans="35:42" x14ac:dyDescent="0.2">
      <c r="AI832">
        <v>5</v>
      </c>
      <c r="AJ832">
        <v>2</v>
      </c>
      <c r="AK832">
        <v>5</v>
      </c>
      <c r="AL832">
        <v>5</v>
      </c>
      <c r="AM832">
        <v>4</v>
      </c>
      <c r="AN832">
        <f t="shared" si="38"/>
        <v>1000</v>
      </c>
      <c r="AO832" cm="1">
        <f t="array" ref="AO832">PRODUCT(_xlfn.XLOOKUP(AI832:AM832,$B$3:$B$6,$C$3:$C$6))</f>
        <v>0</v>
      </c>
      <c r="AP832">
        <f t="shared" si="39"/>
        <v>0</v>
      </c>
    </row>
    <row r="833" spans="35:42" x14ac:dyDescent="0.2">
      <c r="AI833">
        <v>5</v>
      </c>
      <c r="AJ833">
        <v>2</v>
      </c>
      <c r="AK833">
        <v>5</v>
      </c>
      <c r="AL833">
        <v>5</v>
      </c>
      <c r="AM833">
        <v>5</v>
      </c>
      <c r="AN833">
        <f t="shared" si="38"/>
        <v>1250</v>
      </c>
      <c r="AO833" cm="1">
        <f t="array" ref="AO833">PRODUCT(_xlfn.XLOOKUP(AI833:AM833,$B$3:$B$6,$C$3:$C$6))</f>
        <v>6.2985599999999993E-4</v>
      </c>
      <c r="AP833">
        <f t="shared" si="39"/>
        <v>0.78731999999999991</v>
      </c>
    </row>
    <row r="834" spans="35:42" x14ac:dyDescent="0.2">
      <c r="AI834">
        <v>5</v>
      </c>
      <c r="AJ834">
        <v>3</v>
      </c>
      <c r="AK834">
        <v>2</v>
      </c>
      <c r="AL834">
        <v>2</v>
      </c>
      <c r="AM834">
        <v>2</v>
      </c>
      <c r="AN834">
        <f t="shared" si="38"/>
        <v>120</v>
      </c>
      <c r="AO834" cm="1">
        <f t="array" ref="AO834">PRODUCT(_xlfn.XLOOKUP(AI834:AM834,$B$3:$B$6,$C$3:$C$6))</f>
        <v>8.553599999999998E-3</v>
      </c>
      <c r="AP834">
        <f t="shared" si="39"/>
        <v>1.0264319999999998</v>
      </c>
    </row>
    <row r="835" spans="35:42" x14ac:dyDescent="0.2">
      <c r="AI835">
        <v>5</v>
      </c>
      <c r="AJ835">
        <v>3</v>
      </c>
      <c r="AK835">
        <v>2</v>
      </c>
      <c r="AL835">
        <v>2</v>
      </c>
      <c r="AM835">
        <v>3</v>
      </c>
      <c r="AN835">
        <f t="shared" ref="AN835:AN898" si="40">PRODUCT(AI835:AM835)</f>
        <v>180</v>
      </c>
      <c r="AO835" cm="1">
        <f t="array" ref="AO835">PRODUCT(_xlfn.XLOOKUP(AI835:AM835,$B$3:$B$6,$C$3:$C$6))</f>
        <v>3.1363199999999997E-3</v>
      </c>
      <c r="AP835">
        <f t="shared" ref="AP835:AP898" si="41">AN835*AO835</f>
        <v>0.56453759999999997</v>
      </c>
    </row>
    <row r="836" spans="35:42" x14ac:dyDescent="0.2">
      <c r="AI836">
        <v>5</v>
      </c>
      <c r="AJ836">
        <v>3</v>
      </c>
      <c r="AK836">
        <v>2</v>
      </c>
      <c r="AL836">
        <v>2</v>
      </c>
      <c r="AM836">
        <v>4</v>
      </c>
      <c r="AN836">
        <f t="shared" si="40"/>
        <v>240</v>
      </c>
      <c r="AO836" cm="1">
        <f t="array" ref="AO836">PRODUCT(_xlfn.XLOOKUP(AI836:AM836,$B$3:$B$6,$C$3:$C$6))</f>
        <v>0</v>
      </c>
      <c r="AP836">
        <f t="shared" si="41"/>
        <v>0</v>
      </c>
    </row>
    <row r="837" spans="35:42" x14ac:dyDescent="0.2">
      <c r="AI837">
        <v>5</v>
      </c>
      <c r="AJ837">
        <v>3</v>
      </c>
      <c r="AK837">
        <v>2</v>
      </c>
      <c r="AL837">
        <v>2</v>
      </c>
      <c r="AM837">
        <v>5</v>
      </c>
      <c r="AN837">
        <f t="shared" si="40"/>
        <v>300</v>
      </c>
      <c r="AO837" cm="1">
        <f t="array" ref="AO837">PRODUCT(_xlfn.XLOOKUP(AI837:AM837,$B$3:$B$6,$C$3:$C$6))</f>
        <v>2.5660799999999997E-3</v>
      </c>
      <c r="AP837">
        <f t="shared" si="41"/>
        <v>0.76982399999999995</v>
      </c>
    </row>
    <row r="838" spans="35:42" x14ac:dyDescent="0.2">
      <c r="AI838">
        <v>5</v>
      </c>
      <c r="AJ838">
        <v>3</v>
      </c>
      <c r="AK838">
        <v>2</v>
      </c>
      <c r="AL838">
        <v>3</v>
      </c>
      <c r="AM838">
        <v>2</v>
      </c>
      <c r="AN838">
        <f t="shared" si="40"/>
        <v>180</v>
      </c>
      <c r="AO838" cm="1">
        <f t="array" ref="AO838">PRODUCT(_xlfn.XLOOKUP(AI838:AM838,$B$3:$B$6,$C$3:$C$6))</f>
        <v>3.1363199999999997E-3</v>
      </c>
      <c r="AP838">
        <f t="shared" si="41"/>
        <v>0.56453759999999997</v>
      </c>
    </row>
    <row r="839" spans="35:42" x14ac:dyDescent="0.2">
      <c r="AI839">
        <v>5</v>
      </c>
      <c r="AJ839">
        <v>3</v>
      </c>
      <c r="AK839">
        <v>2</v>
      </c>
      <c r="AL839">
        <v>3</v>
      </c>
      <c r="AM839">
        <v>3</v>
      </c>
      <c r="AN839">
        <f t="shared" si="40"/>
        <v>270</v>
      </c>
      <c r="AO839" cm="1">
        <f t="array" ref="AO839">PRODUCT(_xlfn.XLOOKUP(AI839:AM839,$B$3:$B$6,$C$3:$C$6))</f>
        <v>1.1499839999999999E-3</v>
      </c>
      <c r="AP839">
        <f t="shared" si="41"/>
        <v>0.31049568</v>
      </c>
    </row>
    <row r="840" spans="35:42" x14ac:dyDescent="0.2">
      <c r="AI840">
        <v>5</v>
      </c>
      <c r="AJ840">
        <v>3</v>
      </c>
      <c r="AK840">
        <v>2</v>
      </c>
      <c r="AL840">
        <v>3</v>
      </c>
      <c r="AM840">
        <v>4</v>
      </c>
      <c r="AN840">
        <f t="shared" si="40"/>
        <v>360</v>
      </c>
      <c r="AO840" cm="1">
        <f t="array" ref="AO840">PRODUCT(_xlfn.XLOOKUP(AI840:AM840,$B$3:$B$6,$C$3:$C$6))</f>
        <v>0</v>
      </c>
      <c r="AP840">
        <f t="shared" si="41"/>
        <v>0</v>
      </c>
    </row>
    <row r="841" spans="35:42" x14ac:dyDescent="0.2">
      <c r="AI841">
        <v>5</v>
      </c>
      <c r="AJ841">
        <v>3</v>
      </c>
      <c r="AK841">
        <v>2</v>
      </c>
      <c r="AL841">
        <v>3</v>
      </c>
      <c r="AM841">
        <v>5</v>
      </c>
      <c r="AN841">
        <f t="shared" si="40"/>
        <v>450</v>
      </c>
      <c r="AO841" cm="1">
        <f t="array" ref="AO841">PRODUCT(_xlfn.XLOOKUP(AI841:AM841,$B$3:$B$6,$C$3:$C$6))</f>
        <v>9.4089599999999988E-4</v>
      </c>
      <c r="AP841">
        <f t="shared" si="41"/>
        <v>0.42340319999999992</v>
      </c>
    </row>
    <row r="842" spans="35:42" x14ac:dyDescent="0.2">
      <c r="AI842">
        <v>5</v>
      </c>
      <c r="AJ842">
        <v>3</v>
      </c>
      <c r="AK842">
        <v>2</v>
      </c>
      <c r="AL842">
        <v>4</v>
      </c>
      <c r="AM842">
        <v>2</v>
      </c>
      <c r="AN842">
        <f t="shared" si="40"/>
        <v>240</v>
      </c>
      <c r="AO842" cm="1">
        <f t="array" ref="AO842">PRODUCT(_xlfn.XLOOKUP(AI842:AM842,$B$3:$B$6,$C$3:$C$6))</f>
        <v>0</v>
      </c>
      <c r="AP842">
        <f t="shared" si="41"/>
        <v>0</v>
      </c>
    </row>
    <row r="843" spans="35:42" x14ac:dyDescent="0.2">
      <c r="AI843">
        <v>5</v>
      </c>
      <c r="AJ843">
        <v>3</v>
      </c>
      <c r="AK843">
        <v>2</v>
      </c>
      <c r="AL843">
        <v>4</v>
      </c>
      <c r="AM843">
        <v>3</v>
      </c>
      <c r="AN843">
        <f t="shared" si="40"/>
        <v>360</v>
      </c>
      <c r="AO843" cm="1">
        <f t="array" ref="AO843">PRODUCT(_xlfn.XLOOKUP(AI843:AM843,$B$3:$B$6,$C$3:$C$6))</f>
        <v>0</v>
      </c>
      <c r="AP843">
        <f t="shared" si="41"/>
        <v>0</v>
      </c>
    </row>
    <row r="844" spans="35:42" x14ac:dyDescent="0.2">
      <c r="AI844">
        <v>5</v>
      </c>
      <c r="AJ844">
        <v>3</v>
      </c>
      <c r="AK844">
        <v>2</v>
      </c>
      <c r="AL844">
        <v>4</v>
      </c>
      <c r="AM844">
        <v>4</v>
      </c>
      <c r="AN844">
        <f t="shared" si="40"/>
        <v>480</v>
      </c>
      <c r="AO844" cm="1">
        <f t="array" ref="AO844">PRODUCT(_xlfn.XLOOKUP(AI844:AM844,$B$3:$B$6,$C$3:$C$6))</f>
        <v>0</v>
      </c>
      <c r="AP844">
        <f t="shared" si="41"/>
        <v>0</v>
      </c>
    </row>
    <row r="845" spans="35:42" x14ac:dyDescent="0.2">
      <c r="AI845">
        <v>5</v>
      </c>
      <c r="AJ845">
        <v>3</v>
      </c>
      <c r="AK845">
        <v>2</v>
      </c>
      <c r="AL845">
        <v>4</v>
      </c>
      <c r="AM845">
        <v>5</v>
      </c>
      <c r="AN845">
        <f t="shared" si="40"/>
        <v>600</v>
      </c>
      <c r="AO845" cm="1">
        <f t="array" ref="AO845">PRODUCT(_xlfn.XLOOKUP(AI845:AM845,$B$3:$B$6,$C$3:$C$6))</f>
        <v>0</v>
      </c>
      <c r="AP845">
        <f t="shared" si="41"/>
        <v>0</v>
      </c>
    </row>
    <row r="846" spans="35:42" x14ac:dyDescent="0.2">
      <c r="AI846">
        <v>5</v>
      </c>
      <c r="AJ846">
        <v>3</v>
      </c>
      <c r="AK846">
        <v>2</v>
      </c>
      <c r="AL846">
        <v>5</v>
      </c>
      <c r="AM846">
        <v>2</v>
      </c>
      <c r="AN846">
        <f t="shared" si="40"/>
        <v>300</v>
      </c>
      <c r="AO846" cm="1">
        <f t="array" ref="AO846">PRODUCT(_xlfn.XLOOKUP(AI846:AM846,$B$3:$B$6,$C$3:$C$6))</f>
        <v>2.5660799999999992E-3</v>
      </c>
      <c r="AP846">
        <f t="shared" si="41"/>
        <v>0.76982399999999973</v>
      </c>
    </row>
    <row r="847" spans="35:42" x14ac:dyDescent="0.2">
      <c r="AI847">
        <v>5</v>
      </c>
      <c r="AJ847">
        <v>3</v>
      </c>
      <c r="AK847">
        <v>2</v>
      </c>
      <c r="AL847">
        <v>5</v>
      </c>
      <c r="AM847">
        <v>3</v>
      </c>
      <c r="AN847">
        <f t="shared" si="40"/>
        <v>450</v>
      </c>
      <c r="AO847" cm="1">
        <f t="array" ref="AO847">PRODUCT(_xlfn.XLOOKUP(AI847:AM847,$B$3:$B$6,$C$3:$C$6))</f>
        <v>9.4089599999999977E-4</v>
      </c>
      <c r="AP847">
        <f t="shared" si="41"/>
        <v>0.42340319999999987</v>
      </c>
    </row>
    <row r="848" spans="35:42" x14ac:dyDescent="0.2">
      <c r="AI848">
        <v>5</v>
      </c>
      <c r="AJ848">
        <v>3</v>
      </c>
      <c r="AK848">
        <v>2</v>
      </c>
      <c r="AL848">
        <v>5</v>
      </c>
      <c r="AM848">
        <v>4</v>
      </c>
      <c r="AN848">
        <f t="shared" si="40"/>
        <v>600</v>
      </c>
      <c r="AO848" cm="1">
        <f t="array" ref="AO848">PRODUCT(_xlfn.XLOOKUP(AI848:AM848,$B$3:$B$6,$C$3:$C$6))</f>
        <v>0</v>
      </c>
      <c r="AP848">
        <f t="shared" si="41"/>
        <v>0</v>
      </c>
    </row>
    <row r="849" spans="35:42" x14ac:dyDescent="0.2">
      <c r="AI849">
        <v>5</v>
      </c>
      <c r="AJ849">
        <v>3</v>
      </c>
      <c r="AK849">
        <v>2</v>
      </c>
      <c r="AL849">
        <v>5</v>
      </c>
      <c r="AM849">
        <v>5</v>
      </c>
      <c r="AN849">
        <f t="shared" si="40"/>
        <v>750</v>
      </c>
      <c r="AO849" cm="1">
        <f t="array" ref="AO849">PRODUCT(_xlfn.XLOOKUP(AI849:AM849,$B$3:$B$6,$C$3:$C$6))</f>
        <v>7.6982399999999979E-4</v>
      </c>
      <c r="AP849">
        <f t="shared" si="41"/>
        <v>0.57736799999999988</v>
      </c>
    </row>
    <row r="850" spans="35:42" x14ac:dyDescent="0.2">
      <c r="AI850">
        <v>5</v>
      </c>
      <c r="AJ850">
        <v>3</v>
      </c>
      <c r="AK850">
        <v>3</v>
      </c>
      <c r="AL850">
        <v>2</v>
      </c>
      <c r="AM850">
        <v>2</v>
      </c>
      <c r="AN850">
        <f t="shared" si="40"/>
        <v>180</v>
      </c>
      <c r="AO850" cm="1">
        <f t="array" ref="AO850">PRODUCT(_xlfn.XLOOKUP(AI850:AM850,$B$3:$B$6,$C$3:$C$6))</f>
        <v>3.1363199999999997E-3</v>
      </c>
      <c r="AP850">
        <f t="shared" si="41"/>
        <v>0.56453759999999997</v>
      </c>
    </row>
    <row r="851" spans="35:42" x14ac:dyDescent="0.2">
      <c r="AI851">
        <v>5</v>
      </c>
      <c r="AJ851">
        <v>3</v>
      </c>
      <c r="AK851">
        <v>3</v>
      </c>
      <c r="AL851">
        <v>2</v>
      </c>
      <c r="AM851">
        <v>3</v>
      </c>
      <c r="AN851">
        <f t="shared" si="40"/>
        <v>270</v>
      </c>
      <c r="AO851" cm="1">
        <f t="array" ref="AO851">PRODUCT(_xlfn.XLOOKUP(AI851:AM851,$B$3:$B$6,$C$3:$C$6))</f>
        <v>1.1499839999999999E-3</v>
      </c>
      <c r="AP851">
        <f t="shared" si="41"/>
        <v>0.31049568</v>
      </c>
    </row>
    <row r="852" spans="35:42" x14ac:dyDescent="0.2">
      <c r="AI852">
        <v>5</v>
      </c>
      <c r="AJ852">
        <v>3</v>
      </c>
      <c r="AK852">
        <v>3</v>
      </c>
      <c r="AL852">
        <v>2</v>
      </c>
      <c r="AM852">
        <v>4</v>
      </c>
      <c r="AN852">
        <f t="shared" si="40"/>
        <v>360</v>
      </c>
      <c r="AO852" cm="1">
        <f t="array" ref="AO852">PRODUCT(_xlfn.XLOOKUP(AI852:AM852,$B$3:$B$6,$C$3:$C$6))</f>
        <v>0</v>
      </c>
      <c r="AP852">
        <f t="shared" si="41"/>
        <v>0</v>
      </c>
    </row>
    <row r="853" spans="35:42" x14ac:dyDescent="0.2">
      <c r="AI853">
        <v>5</v>
      </c>
      <c r="AJ853">
        <v>3</v>
      </c>
      <c r="AK853">
        <v>3</v>
      </c>
      <c r="AL853">
        <v>2</v>
      </c>
      <c r="AM853">
        <v>5</v>
      </c>
      <c r="AN853">
        <f t="shared" si="40"/>
        <v>450</v>
      </c>
      <c r="AO853" cm="1">
        <f t="array" ref="AO853">PRODUCT(_xlfn.XLOOKUP(AI853:AM853,$B$3:$B$6,$C$3:$C$6))</f>
        <v>9.4089599999999988E-4</v>
      </c>
      <c r="AP853">
        <f t="shared" si="41"/>
        <v>0.42340319999999992</v>
      </c>
    </row>
    <row r="854" spans="35:42" x14ac:dyDescent="0.2">
      <c r="AI854">
        <v>5</v>
      </c>
      <c r="AJ854">
        <v>3</v>
      </c>
      <c r="AK854">
        <v>3</v>
      </c>
      <c r="AL854">
        <v>3</v>
      </c>
      <c r="AM854">
        <v>2</v>
      </c>
      <c r="AN854">
        <f t="shared" si="40"/>
        <v>270</v>
      </c>
      <c r="AO854" cm="1">
        <f t="array" ref="AO854">PRODUCT(_xlfn.XLOOKUP(AI854:AM854,$B$3:$B$6,$C$3:$C$6))</f>
        <v>1.1499839999999999E-3</v>
      </c>
      <c r="AP854">
        <f t="shared" si="41"/>
        <v>0.31049568</v>
      </c>
    </row>
    <row r="855" spans="35:42" x14ac:dyDescent="0.2">
      <c r="AI855">
        <v>5</v>
      </c>
      <c r="AJ855">
        <v>3</v>
      </c>
      <c r="AK855">
        <v>3</v>
      </c>
      <c r="AL855">
        <v>3</v>
      </c>
      <c r="AM855">
        <v>3</v>
      </c>
      <c r="AN855">
        <f t="shared" si="40"/>
        <v>405</v>
      </c>
      <c r="AO855" cm="1">
        <f t="array" ref="AO855">PRODUCT(_xlfn.XLOOKUP(AI855:AM855,$B$3:$B$6,$C$3:$C$6))</f>
        <v>4.2166079999999997E-4</v>
      </c>
      <c r="AP855">
        <f t="shared" si="41"/>
        <v>0.17077262399999998</v>
      </c>
    </row>
    <row r="856" spans="35:42" x14ac:dyDescent="0.2">
      <c r="AI856">
        <v>5</v>
      </c>
      <c r="AJ856">
        <v>3</v>
      </c>
      <c r="AK856">
        <v>3</v>
      </c>
      <c r="AL856">
        <v>3</v>
      </c>
      <c r="AM856">
        <v>4</v>
      </c>
      <c r="AN856">
        <f t="shared" si="40"/>
        <v>540</v>
      </c>
      <c r="AO856" cm="1">
        <f t="array" ref="AO856">PRODUCT(_xlfn.XLOOKUP(AI856:AM856,$B$3:$B$6,$C$3:$C$6))</f>
        <v>0</v>
      </c>
      <c r="AP856">
        <f t="shared" si="41"/>
        <v>0</v>
      </c>
    </row>
    <row r="857" spans="35:42" x14ac:dyDescent="0.2">
      <c r="AI857">
        <v>5</v>
      </c>
      <c r="AJ857">
        <v>3</v>
      </c>
      <c r="AK857">
        <v>3</v>
      </c>
      <c r="AL857">
        <v>3</v>
      </c>
      <c r="AM857">
        <v>5</v>
      </c>
      <c r="AN857">
        <f t="shared" si="40"/>
        <v>675</v>
      </c>
      <c r="AO857" cm="1">
        <f t="array" ref="AO857">PRODUCT(_xlfn.XLOOKUP(AI857:AM857,$B$3:$B$6,$C$3:$C$6))</f>
        <v>3.4499519999999997E-4</v>
      </c>
      <c r="AP857">
        <f t="shared" si="41"/>
        <v>0.23287175999999998</v>
      </c>
    </row>
    <row r="858" spans="35:42" x14ac:dyDescent="0.2">
      <c r="AI858">
        <v>5</v>
      </c>
      <c r="AJ858">
        <v>3</v>
      </c>
      <c r="AK858">
        <v>3</v>
      </c>
      <c r="AL858">
        <v>4</v>
      </c>
      <c r="AM858">
        <v>2</v>
      </c>
      <c r="AN858">
        <f t="shared" si="40"/>
        <v>360</v>
      </c>
      <c r="AO858" cm="1">
        <f t="array" ref="AO858">PRODUCT(_xlfn.XLOOKUP(AI858:AM858,$B$3:$B$6,$C$3:$C$6))</f>
        <v>0</v>
      </c>
      <c r="AP858">
        <f t="shared" si="41"/>
        <v>0</v>
      </c>
    </row>
    <row r="859" spans="35:42" x14ac:dyDescent="0.2">
      <c r="AI859">
        <v>5</v>
      </c>
      <c r="AJ859">
        <v>3</v>
      </c>
      <c r="AK859">
        <v>3</v>
      </c>
      <c r="AL859">
        <v>4</v>
      </c>
      <c r="AM859">
        <v>3</v>
      </c>
      <c r="AN859">
        <f t="shared" si="40"/>
        <v>540</v>
      </c>
      <c r="AO859" cm="1">
        <f t="array" ref="AO859">PRODUCT(_xlfn.XLOOKUP(AI859:AM859,$B$3:$B$6,$C$3:$C$6))</f>
        <v>0</v>
      </c>
      <c r="AP859">
        <f t="shared" si="41"/>
        <v>0</v>
      </c>
    </row>
    <row r="860" spans="35:42" x14ac:dyDescent="0.2">
      <c r="AI860">
        <v>5</v>
      </c>
      <c r="AJ860">
        <v>3</v>
      </c>
      <c r="AK860">
        <v>3</v>
      </c>
      <c r="AL860">
        <v>4</v>
      </c>
      <c r="AM860">
        <v>4</v>
      </c>
      <c r="AN860">
        <f t="shared" si="40"/>
        <v>720</v>
      </c>
      <c r="AO860" cm="1">
        <f t="array" ref="AO860">PRODUCT(_xlfn.XLOOKUP(AI860:AM860,$B$3:$B$6,$C$3:$C$6))</f>
        <v>0</v>
      </c>
      <c r="AP860">
        <f t="shared" si="41"/>
        <v>0</v>
      </c>
    </row>
    <row r="861" spans="35:42" x14ac:dyDescent="0.2">
      <c r="AI861">
        <v>5</v>
      </c>
      <c r="AJ861">
        <v>3</v>
      </c>
      <c r="AK861">
        <v>3</v>
      </c>
      <c r="AL861">
        <v>4</v>
      </c>
      <c r="AM861">
        <v>5</v>
      </c>
      <c r="AN861">
        <f t="shared" si="40"/>
        <v>900</v>
      </c>
      <c r="AO861" cm="1">
        <f t="array" ref="AO861">PRODUCT(_xlfn.XLOOKUP(AI861:AM861,$B$3:$B$6,$C$3:$C$6))</f>
        <v>0</v>
      </c>
      <c r="AP861">
        <f t="shared" si="41"/>
        <v>0</v>
      </c>
    </row>
    <row r="862" spans="35:42" x14ac:dyDescent="0.2">
      <c r="AI862">
        <v>5</v>
      </c>
      <c r="AJ862">
        <v>3</v>
      </c>
      <c r="AK862">
        <v>3</v>
      </c>
      <c r="AL862">
        <v>5</v>
      </c>
      <c r="AM862">
        <v>2</v>
      </c>
      <c r="AN862">
        <f t="shared" si="40"/>
        <v>450</v>
      </c>
      <c r="AO862" cm="1">
        <f t="array" ref="AO862">PRODUCT(_xlfn.XLOOKUP(AI862:AM862,$B$3:$B$6,$C$3:$C$6))</f>
        <v>9.4089599999999988E-4</v>
      </c>
      <c r="AP862">
        <f t="shared" si="41"/>
        <v>0.42340319999999992</v>
      </c>
    </row>
    <row r="863" spans="35:42" x14ac:dyDescent="0.2">
      <c r="AI863">
        <v>5</v>
      </c>
      <c r="AJ863">
        <v>3</v>
      </c>
      <c r="AK863">
        <v>3</v>
      </c>
      <c r="AL863">
        <v>5</v>
      </c>
      <c r="AM863">
        <v>3</v>
      </c>
      <c r="AN863">
        <f t="shared" si="40"/>
        <v>675</v>
      </c>
      <c r="AO863" cm="1">
        <f t="array" ref="AO863">PRODUCT(_xlfn.XLOOKUP(AI863:AM863,$B$3:$B$6,$C$3:$C$6))</f>
        <v>3.4499519999999997E-4</v>
      </c>
      <c r="AP863">
        <f t="shared" si="41"/>
        <v>0.23287175999999998</v>
      </c>
    </row>
    <row r="864" spans="35:42" x14ac:dyDescent="0.2">
      <c r="AI864">
        <v>5</v>
      </c>
      <c r="AJ864">
        <v>3</v>
      </c>
      <c r="AK864">
        <v>3</v>
      </c>
      <c r="AL864">
        <v>5</v>
      </c>
      <c r="AM864">
        <v>4</v>
      </c>
      <c r="AN864">
        <f t="shared" si="40"/>
        <v>900</v>
      </c>
      <c r="AO864" cm="1">
        <f t="array" ref="AO864">PRODUCT(_xlfn.XLOOKUP(AI864:AM864,$B$3:$B$6,$C$3:$C$6))</f>
        <v>0</v>
      </c>
      <c r="AP864">
        <f t="shared" si="41"/>
        <v>0</v>
      </c>
    </row>
    <row r="865" spans="35:42" x14ac:dyDescent="0.2">
      <c r="AI865">
        <v>5</v>
      </c>
      <c r="AJ865">
        <v>3</v>
      </c>
      <c r="AK865">
        <v>3</v>
      </c>
      <c r="AL865">
        <v>5</v>
      </c>
      <c r="AM865">
        <v>5</v>
      </c>
      <c r="AN865">
        <f t="shared" si="40"/>
        <v>1125</v>
      </c>
      <c r="AO865" cm="1">
        <f t="array" ref="AO865">PRODUCT(_xlfn.XLOOKUP(AI865:AM865,$B$3:$B$6,$C$3:$C$6))</f>
        <v>2.8226879999999996E-4</v>
      </c>
      <c r="AP865">
        <f t="shared" si="41"/>
        <v>0.31755239999999996</v>
      </c>
    </row>
    <row r="866" spans="35:42" x14ac:dyDescent="0.2">
      <c r="AI866">
        <v>5</v>
      </c>
      <c r="AJ866">
        <v>3</v>
      </c>
      <c r="AK866">
        <v>4</v>
      </c>
      <c r="AL866">
        <v>2</v>
      </c>
      <c r="AM866">
        <v>2</v>
      </c>
      <c r="AN866">
        <f t="shared" si="40"/>
        <v>240</v>
      </c>
      <c r="AO866" cm="1">
        <f t="array" ref="AO866">PRODUCT(_xlfn.XLOOKUP(AI866:AM866,$B$3:$B$6,$C$3:$C$6))</f>
        <v>0</v>
      </c>
      <c r="AP866">
        <f t="shared" si="41"/>
        <v>0</v>
      </c>
    </row>
    <row r="867" spans="35:42" x14ac:dyDescent="0.2">
      <c r="AI867">
        <v>5</v>
      </c>
      <c r="AJ867">
        <v>3</v>
      </c>
      <c r="AK867">
        <v>4</v>
      </c>
      <c r="AL867">
        <v>2</v>
      </c>
      <c r="AM867">
        <v>3</v>
      </c>
      <c r="AN867">
        <f t="shared" si="40"/>
        <v>360</v>
      </c>
      <c r="AO867" cm="1">
        <f t="array" ref="AO867">PRODUCT(_xlfn.XLOOKUP(AI867:AM867,$B$3:$B$6,$C$3:$C$6))</f>
        <v>0</v>
      </c>
      <c r="AP867">
        <f t="shared" si="41"/>
        <v>0</v>
      </c>
    </row>
    <row r="868" spans="35:42" x14ac:dyDescent="0.2">
      <c r="AI868">
        <v>5</v>
      </c>
      <c r="AJ868">
        <v>3</v>
      </c>
      <c r="AK868">
        <v>4</v>
      </c>
      <c r="AL868">
        <v>2</v>
      </c>
      <c r="AM868">
        <v>4</v>
      </c>
      <c r="AN868">
        <f t="shared" si="40"/>
        <v>480</v>
      </c>
      <c r="AO868" cm="1">
        <f t="array" ref="AO868">PRODUCT(_xlfn.XLOOKUP(AI868:AM868,$B$3:$B$6,$C$3:$C$6))</f>
        <v>0</v>
      </c>
      <c r="AP868">
        <f t="shared" si="41"/>
        <v>0</v>
      </c>
    </row>
    <row r="869" spans="35:42" x14ac:dyDescent="0.2">
      <c r="AI869">
        <v>5</v>
      </c>
      <c r="AJ869">
        <v>3</v>
      </c>
      <c r="AK869">
        <v>4</v>
      </c>
      <c r="AL869">
        <v>2</v>
      </c>
      <c r="AM869">
        <v>5</v>
      </c>
      <c r="AN869">
        <f t="shared" si="40"/>
        <v>600</v>
      </c>
      <c r="AO869" cm="1">
        <f t="array" ref="AO869">PRODUCT(_xlfn.XLOOKUP(AI869:AM869,$B$3:$B$6,$C$3:$C$6))</f>
        <v>0</v>
      </c>
      <c r="AP869">
        <f t="shared" si="41"/>
        <v>0</v>
      </c>
    </row>
    <row r="870" spans="35:42" x14ac:dyDescent="0.2">
      <c r="AI870">
        <v>5</v>
      </c>
      <c r="AJ870">
        <v>3</v>
      </c>
      <c r="AK870">
        <v>4</v>
      </c>
      <c r="AL870">
        <v>3</v>
      </c>
      <c r="AM870">
        <v>2</v>
      </c>
      <c r="AN870">
        <f t="shared" si="40"/>
        <v>360</v>
      </c>
      <c r="AO870" cm="1">
        <f t="array" ref="AO870">PRODUCT(_xlfn.XLOOKUP(AI870:AM870,$B$3:$B$6,$C$3:$C$6))</f>
        <v>0</v>
      </c>
      <c r="AP870">
        <f t="shared" si="41"/>
        <v>0</v>
      </c>
    </row>
    <row r="871" spans="35:42" x14ac:dyDescent="0.2">
      <c r="AI871">
        <v>5</v>
      </c>
      <c r="AJ871">
        <v>3</v>
      </c>
      <c r="AK871">
        <v>4</v>
      </c>
      <c r="AL871">
        <v>3</v>
      </c>
      <c r="AM871">
        <v>3</v>
      </c>
      <c r="AN871">
        <f t="shared" si="40"/>
        <v>540</v>
      </c>
      <c r="AO871" cm="1">
        <f t="array" ref="AO871">PRODUCT(_xlfn.XLOOKUP(AI871:AM871,$B$3:$B$6,$C$3:$C$6))</f>
        <v>0</v>
      </c>
      <c r="AP871">
        <f t="shared" si="41"/>
        <v>0</v>
      </c>
    </row>
    <row r="872" spans="35:42" x14ac:dyDescent="0.2">
      <c r="AI872">
        <v>5</v>
      </c>
      <c r="AJ872">
        <v>3</v>
      </c>
      <c r="AK872">
        <v>4</v>
      </c>
      <c r="AL872">
        <v>3</v>
      </c>
      <c r="AM872">
        <v>4</v>
      </c>
      <c r="AN872">
        <f t="shared" si="40"/>
        <v>720</v>
      </c>
      <c r="AO872" cm="1">
        <f t="array" ref="AO872">PRODUCT(_xlfn.XLOOKUP(AI872:AM872,$B$3:$B$6,$C$3:$C$6))</f>
        <v>0</v>
      </c>
      <c r="AP872">
        <f t="shared" si="41"/>
        <v>0</v>
      </c>
    </row>
    <row r="873" spans="35:42" x14ac:dyDescent="0.2">
      <c r="AI873">
        <v>5</v>
      </c>
      <c r="AJ873">
        <v>3</v>
      </c>
      <c r="AK873">
        <v>4</v>
      </c>
      <c r="AL873">
        <v>3</v>
      </c>
      <c r="AM873">
        <v>5</v>
      </c>
      <c r="AN873">
        <f t="shared" si="40"/>
        <v>900</v>
      </c>
      <c r="AO873" cm="1">
        <f t="array" ref="AO873">PRODUCT(_xlfn.XLOOKUP(AI873:AM873,$B$3:$B$6,$C$3:$C$6))</f>
        <v>0</v>
      </c>
      <c r="AP873">
        <f t="shared" si="41"/>
        <v>0</v>
      </c>
    </row>
    <row r="874" spans="35:42" x14ac:dyDescent="0.2">
      <c r="AI874">
        <v>5</v>
      </c>
      <c r="AJ874">
        <v>3</v>
      </c>
      <c r="AK874">
        <v>4</v>
      </c>
      <c r="AL874">
        <v>4</v>
      </c>
      <c r="AM874">
        <v>2</v>
      </c>
      <c r="AN874">
        <f t="shared" si="40"/>
        <v>480</v>
      </c>
      <c r="AO874" cm="1">
        <f t="array" ref="AO874">PRODUCT(_xlfn.XLOOKUP(AI874:AM874,$B$3:$B$6,$C$3:$C$6))</f>
        <v>0</v>
      </c>
      <c r="AP874">
        <f t="shared" si="41"/>
        <v>0</v>
      </c>
    </row>
    <row r="875" spans="35:42" x14ac:dyDescent="0.2">
      <c r="AI875">
        <v>5</v>
      </c>
      <c r="AJ875">
        <v>3</v>
      </c>
      <c r="AK875">
        <v>4</v>
      </c>
      <c r="AL875">
        <v>4</v>
      </c>
      <c r="AM875">
        <v>3</v>
      </c>
      <c r="AN875">
        <f t="shared" si="40"/>
        <v>720</v>
      </c>
      <c r="AO875" cm="1">
        <f t="array" ref="AO875">PRODUCT(_xlfn.XLOOKUP(AI875:AM875,$B$3:$B$6,$C$3:$C$6))</f>
        <v>0</v>
      </c>
      <c r="AP875">
        <f t="shared" si="41"/>
        <v>0</v>
      </c>
    </row>
    <row r="876" spans="35:42" x14ac:dyDescent="0.2">
      <c r="AI876">
        <v>5</v>
      </c>
      <c r="AJ876">
        <v>3</v>
      </c>
      <c r="AK876">
        <v>4</v>
      </c>
      <c r="AL876">
        <v>4</v>
      </c>
      <c r="AM876">
        <v>4</v>
      </c>
      <c r="AN876">
        <f t="shared" si="40"/>
        <v>960</v>
      </c>
      <c r="AO876" cm="1">
        <f t="array" ref="AO876">PRODUCT(_xlfn.XLOOKUP(AI876:AM876,$B$3:$B$6,$C$3:$C$6))</f>
        <v>0</v>
      </c>
      <c r="AP876">
        <f t="shared" si="41"/>
        <v>0</v>
      </c>
    </row>
    <row r="877" spans="35:42" x14ac:dyDescent="0.2">
      <c r="AI877">
        <v>5</v>
      </c>
      <c r="AJ877">
        <v>3</v>
      </c>
      <c r="AK877">
        <v>4</v>
      </c>
      <c r="AL877">
        <v>4</v>
      </c>
      <c r="AM877">
        <v>5</v>
      </c>
      <c r="AN877">
        <f t="shared" si="40"/>
        <v>1200</v>
      </c>
      <c r="AO877" cm="1">
        <f t="array" ref="AO877">PRODUCT(_xlfn.XLOOKUP(AI877:AM877,$B$3:$B$6,$C$3:$C$6))</f>
        <v>0</v>
      </c>
      <c r="AP877">
        <f t="shared" si="41"/>
        <v>0</v>
      </c>
    </row>
    <row r="878" spans="35:42" x14ac:dyDescent="0.2">
      <c r="AI878">
        <v>5</v>
      </c>
      <c r="AJ878">
        <v>3</v>
      </c>
      <c r="AK878">
        <v>4</v>
      </c>
      <c r="AL878">
        <v>5</v>
      </c>
      <c r="AM878">
        <v>2</v>
      </c>
      <c r="AN878">
        <f t="shared" si="40"/>
        <v>600</v>
      </c>
      <c r="AO878" cm="1">
        <f t="array" ref="AO878">PRODUCT(_xlfn.XLOOKUP(AI878:AM878,$B$3:$B$6,$C$3:$C$6))</f>
        <v>0</v>
      </c>
      <c r="AP878">
        <f t="shared" si="41"/>
        <v>0</v>
      </c>
    </row>
    <row r="879" spans="35:42" x14ac:dyDescent="0.2">
      <c r="AI879">
        <v>5</v>
      </c>
      <c r="AJ879">
        <v>3</v>
      </c>
      <c r="AK879">
        <v>4</v>
      </c>
      <c r="AL879">
        <v>5</v>
      </c>
      <c r="AM879">
        <v>3</v>
      </c>
      <c r="AN879">
        <f t="shared" si="40"/>
        <v>900</v>
      </c>
      <c r="AO879" cm="1">
        <f t="array" ref="AO879">PRODUCT(_xlfn.XLOOKUP(AI879:AM879,$B$3:$B$6,$C$3:$C$6))</f>
        <v>0</v>
      </c>
      <c r="AP879">
        <f t="shared" si="41"/>
        <v>0</v>
      </c>
    </row>
    <row r="880" spans="35:42" x14ac:dyDescent="0.2">
      <c r="AI880">
        <v>5</v>
      </c>
      <c r="AJ880">
        <v>3</v>
      </c>
      <c r="AK880">
        <v>4</v>
      </c>
      <c r="AL880">
        <v>5</v>
      </c>
      <c r="AM880">
        <v>4</v>
      </c>
      <c r="AN880">
        <f t="shared" si="40"/>
        <v>1200</v>
      </c>
      <c r="AO880" cm="1">
        <f t="array" ref="AO880">PRODUCT(_xlfn.XLOOKUP(AI880:AM880,$B$3:$B$6,$C$3:$C$6))</f>
        <v>0</v>
      </c>
      <c r="AP880">
        <f t="shared" si="41"/>
        <v>0</v>
      </c>
    </row>
    <row r="881" spans="35:42" x14ac:dyDescent="0.2">
      <c r="AI881">
        <v>5</v>
      </c>
      <c r="AJ881">
        <v>3</v>
      </c>
      <c r="AK881">
        <v>4</v>
      </c>
      <c r="AL881">
        <v>5</v>
      </c>
      <c r="AM881">
        <v>5</v>
      </c>
      <c r="AN881">
        <f t="shared" si="40"/>
        <v>1500</v>
      </c>
      <c r="AO881" cm="1">
        <f t="array" ref="AO881">PRODUCT(_xlfn.XLOOKUP(AI881:AM881,$B$3:$B$6,$C$3:$C$6))</f>
        <v>0</v>
      </c>
      <c r="AP881">
        <f t="shared" si="41"/>
        <v>0</v>
      </c>
    </row>
    <row r="882" spans="35:42" x14ac:dyDescent="0.2">
      <c r="AI882">
        <v>5</v>
      </c>
      <c r="AJ882">
        <v>3</v>
      </c>
      <c r="AK882">
        <v>5</v>
      </c>
      <c r="AL882">
        <v>2</v>
      </c>
      <c r="AM882">
        <v>2</v>
      </c>
      <c r="AN882">
        <f t="shared" si="40"/>
        <v>300</v>
      </c>
      <c r="AO882" cm="1">
        <f t="array" ref="AO882">PRODUCT(_xlfn.XLOOKUP(AI882:AM882,$B$3:$B$6,$C$3:$C$6))</f>
        <v>2.5660799999999992E-3</v>
      </c>
      <c r="AP882">
        <f t="shared" si="41"/>
        <v>0.76982399999999973</v>
      </c>
    </row>
    <row r="883" spans="35:42" x14ac:dyDescent="0.2">
      <c r="AI883">
        <v>5</v>
      </c>
      <c r="AJ883">
        <v>3</v>
      </c>
      <c r="AK883">
        <v>5</v>
      </c>
      <c r="AL883">
        <v>2</v>
      </c>
      <c r="AM883">
        <v>3</v>
      </c>
      <c r="AN883">
        <f t="shared" si="40"/>
        <v>450</v>
      </c>
      <c r="AO883" cm="1">
        <f t="array" ref="AO883">PRODUCT(_xlfn.XLOOKUP(AI883:AM883,$B$3:$B$6,$C$3:$C$6))</f>
        <v>9.4089599999999977E-4</v>
      </c>
      <c r="AP883">
        <f t="shared" si="41"/>
        <v>0.42340319999999987</v>
      </c>
    </row>
    <row r="884" spans="35:42" x14ac:dyDescent="0.2">
      <c r="AI884">
        <v>5</v>
      </c>
      <c r="AJ884">
        <v>3</v>
      </c>
      <c r="AK884">
        <v>5</v>
      </c>
      <c r="AL884">
        <v>2</v>
      </c>
      <c r="AM884">
        <v>4</v>
      </c>
      <c r="AN884">
        <f t="shared" si="40"/>
        <v>600</v>
      </c>
      <c r="AO884" cm="1">
        <f t="array" ref="AO884">PRODUCT(_xlfn.XLOOKUP(AI884:AM884,$B$3:$B$6,$C$3:$C$6))</f>
        <v>0</v>
      </c>
      <c r="AP884">
        <f t="shared" si="41"/>
        <v>0</v>
      </c>
    </row>
    <row r="885" spans="35:42" x14ac:dyDescent="0.2">
      <c r="AI885">
        <v>5</v>
      </c>
      <c r="AJ885">
        <v>3</v>
      </c>
      <c r="AK885">
        <v>5</v>
      </c>
      <c r="AL885">
        <v>2</v>
      </c>
      <c r="AM885">
        <v>5</v>
      </c>
      <c r="AN885">
        <f t="shared" si="40"/>
        <v>750</v>
      </c>
      <c r="AO885" cm="1">
        <f t="array" ref="AO885">PRODUCT(_xlfn.XLOOKUP(AI885:AM885,$B$3:$B$6,$C$3:$C$6))</f>
        <v>7.6982399999999979E-4</v>
      </c>
      <c r="AP885">
        <f t="shared" si="41"/>
        <v>0.57736799999999988</v>
      </c>
    </row>
    <row r="886" spans="35:42" x14ac:dyDescent="0.2">
      <c r="AI886">
        <v>5</v>
      </c>
      <c r="AJ886">
        <v>3</v>
      </c>
      <c r="AK886">
        <v>5</v>
      </c>
      <c r="AL886">
        <v>3</v>
      </c>
      <c r="AM886">
        <v>2</v>
      </c>
      <c r="AN886">
        <f t="shared" si="40"/>
        <v>450</v>
      </c>
      <c r="AO886" cm="1">
        <f t="array" ref="AO886">PRODUCT(_xlfn.XLOOKUP(AI886:AM886,$B$3:$B$6,$C$3:$C$6))</f>
        <v>9.4089599999999988E-4</v>
      </c>
      <c r="AP886">
        <f t="shared" si="41"/>
        <v>0.42340319999999992</v>
      </c>
    </row>
    <row r="887" spans="35:42" x14ac:dyDescent="0.2">
      <c r="AI887">
        <v>5</v>
      </c>
      <c r="AJ887">
        <v>3</v>
      </c>
      <c r="AK887">
        <v>5</v>
      </c>
      <c r="AL887">
        <v>3</v>
      </c>
      <c r="AM887">
        <v>3</v>
      </c>
      <c r="AN887">
        <f t="shared" si="40"/>
        <v>675</v>
      </c>
      <c r="AO887" cm="1">
        <f t="array" ref="AO887">PRODUCT(_xlfn.XLOOKUP(AI887:AM887,$B$3:$B$6,$C$3:$C$6))</f>
        <v>3.4499519999999997E-4</v>
      </c>
      <c r="AP887">
        <f t="shared" si="41"/>
        <v>0.23287175999999998</v>
      </c>
    </row>
    <row r="888" spans="35:42" x14ac:dyDescent="0.2">
      <c r="AI888">
        <v>5</v>
      </c>
      <c r="AJ888">
        <v>3</v>
      </c>
      <c r="AK888">
        <v>5</v>
      </c>
      <c r="AL888">
        <v>3</v>
      </c>
      <c r="AM888">
        <v>4</v>
      </c>
      <c r="AN888">
        <f t="shared" si="40"/>
        <v>900</v>
      </c>
      <c r="AO888" cm="1">
        <f t="array" ref="AO888">PRODUCT(_xlfn.XLOOKUP(AI888:AM888,$B$3:$B$6,$C$3:$C$6))</f>
        <v>0</v>
      </c>
      <c r="AP888">
        <f t="shared" si="41"/>
        <v>0</v>
      </c>
    </row>
    <row r="889" spans="35:42" x14ac:dyDescent="0.2">
      <c r="AI889">
        <v>5</v>
      </c>
      <c r="AJ889">
        <v>3</v>
      </c>
      <c r="AK889">
        <v>5</v>
      </c>
      <c r="AL889">
        <v>3</v>
      </c>
      <c r="AM889">
        <v>5</v>
      </c>
      <c r="AN889">
        <f t="shared" si="40"/>
        <v>1125</v>
      </c>
      <c r="AO889" cm="1">
        <f t="array" ref="AO889">PRODUCT(_xlfn.XLOOKUP(AI889:AM889,$B$3:$B$6,$C$3:$C$6))</f>
        <v>2.8226879999999996E-4</v>
      </c>
      <c r="AP889">
        <f t="shared" si="41"/>
        <v>0.31755239999999996</v>
      </c>
    </row>
    <row r="890" spans="35:42" x14ac:dyDescent="0.2">
      <c r="AI890">
        <v>5</v>
      </c>
      <c r="AJ890">
        <v>3</v>
      </c>
      <c r="AK890">
        <v>5</v>
      </c>
      <c r="AL890">
        <v>4</v>
      </c>
      <c r="AM890">
        <v>2</v>
      </c>
      <c r="AN890">
        <f t="shared" si="40"/>
        <v>600</v>
      </c>
      <c r="AO890" cm="1">
        <f t="array" ref="AO890">PRODUCT(_xlfn.XLOOKUP(AI890:AM890,$B$3:$B$6,$C$3:$C$6))</f>
        <v>0</v>
      </c>
      <c r="AP890">
        <f t="shared" si="41"/>
        <v>0</v>
      </c>
    </row>
    <row r="891" spans="35:42" x14ac:dyDescent="0.2">
      <c r="AI891">
        <v>5</v>
      </c>
      <c r="AJ891">
        <v>3</v>
      </c>
      <c r="AK891">
        <v>5</v>
      </c>
      <c r="AL891">
        <v>4</v>
      </c>
      <c r="AM891">
        <v>3</v>
      </c>
      <c r="AN891">
        <f t="shared" si="40"/>
        <v>900</v>
      </c>
      <c r="AO891" cm="1">
        <f t="array" ref="AO891">PRODUCT(_xlfn.XLOOKUP(AI891:AM891,$B$3:$B$6,$C$3:$C$6))</f>
        <v>0</v>
      </c>
      <c r="AP891">
        <f t="shared" si="41"/>
        <v>0</v>
      </c>
    </row>
    <row r="892" spans="35:42" x14ac:dyDescent="0.2">
      <c r="AI892">
        <v>5</v>
      </c>
      <c r="AJ892">
        <v>3</v>
      </c>
      <c r="AK892">
        <v>5</v>
      </c>
      <c r="AL892">
        <v>4</v>
      </c>
      <c r="AM892">
        <v>4</v>
      </c>
      <c r="AN892">
        <f t="shared" si="40"/>
        <v>1200</v>
      </c>
      <c r="AO892" cm="1">
        <f t="array" ref="AO892">PRODUCT(_xlfn.XLOOKUP(AI892:AM892,$B$3:$B$6,$C$3:$C$6))</f>
        <v>0</v>
      </c>
      <c r="AP892">
        <f t="shared" si="41"/>
        <v>0</v>
      </c>
    </row>
    <row r="893" spans="35:42" x14ac:dyDescent="0.2">
      <c r="AI893">
        <v>5</v>
      </c>
      <c r="AJ893">
        <v>3</v>
      </c>
      <c r="AK893">
        <v>5</v>
      </c>
      <c r="AL893">
        <v>4</v>
      </c>
      <c r="AM893">
        <v>5</v>
      </c>
      <c r="AN893">
        <f t="shared" si="40"/>
        <v>1500</v>
      </c>
      <c r="AO893" cm="1">
        <f t="array" ref="AO893">PRODUCT(_xlfn.XLOOKUP(AI893:AM893,$B$3:$B$6,$C$3:$C$6))</f>
        <v>0</v>
      </c>
      <c r="AP893">
        <f t="shared" si="41"/>
        <v>0</v>
      </c>
    </row>
    <row r="894" spans="35:42" x14ac:dyDescent="0.2">
      <c r="AI894">
        <v>5</v>
      </c>
      <c r="AJ894">
        <v>3</v>
      </c>
      <c r="AK894">
        <v>5</v>
      </c>
      <c r="AL894">
        <v>5</v>
      </c>
      <c r="AM894">
        <v>2</v>
      </c>
      <c r="AN894">
        <f t="shared" si="40"/>
        <v>750</v>
      </c>
      <c r="AO894" cm="1">
        <f t="array" ref="AO894">PRODUCT(_xlfn.XLOOKUP(AI894:AM894,$B$3:$B$6,$C$3:$C$6))</f>
        <v>7.698239999999999E-4</v>
      </c>
      <c r="AP894">
        <f t="shared" si="41"/>
        <v>0.57736799999999988</v>
      </c>
    </row>
    <row r="895" spans="35:42" x14ac:dyDescent="0.2">
      <c r="AI895">
        <v>5</v>
      </c>
      <c r="AJ895">
        <v>3</v>
      </c>
      <c r="AK895">
        <v>5</v>
      </c>
      <c r="AL895">
        <v>5</v>
      </c>
      <c r="AM895">
        <v>3</v>
      </c>
      <c r="AN895">
        <f t="shared" si="40"/>
        <v>1125</v>
      </c>
      <c r="AO895" cm="1">
        <f t="array" ref="AO895">PRODUCT(_xlfn.XLOOKUP(AI895:AM895,$B$3:$B$6,$C$3:$C$6))</f>
        <v>2.8226879999999996E-4</v>
      </c>
      <c r="AP895">
        <f t="shared" si="41"/>
        <v>0.31755239999999996</v>
      </c>
    </row>
    <row r="896" spans="35:42" x14ac:dyDescent="0.2">
      <c r="AI896">
        <v>5</v>
      </c>
      <c r="AJ896">
        <v>3</v>
      </c>
      <c r="AK896">
        <v>5</v>
      </c>
      <c r="AL896">
        <v>5</v>
      </c>
      <c r="AM896">
        <v>4</v>
      </c>
      <c r="AN896">
        <f t="shared" si="40"/>
        <v>1500</v>
      </c>
      <c r="AO896" cm="1">
        <f t="array" ref="AO896">PRODUCT(_xlfn.XLOOKUP(AI896:AM896,$B$3:$B$6,$C$3:$C$6))</f>
        <v>0</v>
      </c>
      <c r="AP896">
        <f t="shared" si="41"/>
        <v>0</v>
      </c>
    </row>
    <row r="897" spans="35:42" x14ac:dyDescent="0.2">
      <c r="AI897">
        <v>5</v>
      </c>
      <c r="AJ897">
        <v>3</v>
      </c>
      <c r="AK897">
        <v>5</v>
      </c>
      <c r="AL897">
        <v>5</v>
      </c>
      <c r="AM897">
        <v>5</v>
      </c>
      <c r="AN897">
        <f t="shared" si="40"/>
        <v>1875</v>
      </c>
      <c r="AO897" cm="1">
        <f t="array" ref="AO897">PRODUCT(_xlfn.XLOOKUP(AI897:AM897,$B$3:$B$6,$C$3:$C$6))</f>
        <v>2.3094719999999997E-4</v>
      </c>
      <c r="AP897">
        <f t="shared" si="41"/>
        <v>0.43302599999999997</v>
      </c>
    </row>
    <row r="898" spans="35:42" x14ac:dyDescent="0.2">
      <c r="AI898">
        <v>5</v>
      </c>
      <c r="AJ898">
        <v>4</v>
      </c>
      <c r="AK898">
        <v>2</v>
      </c>
      <c r="AL898">
        <v>2</v>
      </c>
      <c r="AM898">
        <v>2</v>
      </c>
      <c r="AN898">
        <f t="shared" si="40"/>
        <v>160</v>
      </c>
      <c r="AO898" cm="1">
        <f t="array" ref="AO898">PRODUCT(_xlfn.XLOOKUP(AI898:AM898,$B$3:$B$6,$C$3:$C$6))</f>
        <v>0</v>
      </c>
      <c r="AP898">
        <f t="shared" si="41"/>
        <v>0</v>
      </c>
    </row>
    <row r="899" spans="35:42" x14ac:dyDescent="0.2">
      <c r="AI899">
        <v>5</v>
      </c>
      <c r="AJ899">
        <v>4</v>
      </c>
      <c r="AK899">
        <v>2</v>
      </c>
      <c r="AL899">
        <v>2</v>
      </c>
      <c r="AM899">
        <v>3</v>
      </c>
      <c r="AN899">
        <f t="shared" ref="AN899:AN962" si="42">PRODUCT(AI899:AM899)</f>
        <v>240</v>
      </c>
      <c r="AO899" cm="1">
        <f t="array" ref="AO899">PRODUCT(_xlfn.XLOOKUP(AI899:AM899,$B$3:$B$6,$C$3:$C$6))</f>
        <v>0</v>
      </c>
      <c r="AP899">
        <f t="shared" ref="AP899:AP962" si="43">AN899*AO899</f>
        <v>0</v>
      </c>
    </row>
    <row r="900" spans="35:42" x14ac:dyDescent="0.2">
      <c r="AI900">
        <v>5</v>
      </c>
      <c r="AJ900">
        <v>4</v>
      </c>
      <c r="AK900">
        <v>2</v>
      </c>
      <c r="AL900">
        <v>2</v>
      </c>
      <c r="AM900">
        <v>4</v>
      </c>
      <c r="AN900">
        <f t="shared" si="42"/>
        <v>320</v>
      </c>
      <c r="AO900" cm="1">
        <f t="array" ref="AO900">PRODUCT(_xlfn.XLOOKUP(AI900:AM900,$B$3:$B$6,$C$3:$C$6))</f>
        <v>0</v>
      </c>
      <c r="AP900">
        <f t="shared" si="43"/>
        <v>0</v>
      </c>
    </row>
    <row r="901" spans="35:42" x14ac:dyDescent="0.2">
      <c r="AI901">
        <v>5</v>
      </c>
      <c r="AJ901">
        <v>4</v>
      </c>
      <c r="AK901">
        <v>2</v>
      </c>
      <c r="AL901">
        <v>2</v>
      </c>
      <c r="AM901">
        <v>5</v>
      </c>
      <c r="AN901">
        <f t="shared" si="42"/>
        <v>400</v>
      </c>
      <c r="AO901" cm="1">
        <f t="array" ref="AO901">PRODUCT(_xlfn.XLOOKUP(AI901:AM901,$B$3:$B$6,$C$3:$C$6))</f>
        <v>0</v>
      </c>
      <c r="AP901">
        <f t="shared" si="43"/>
        <v>0</v>
      </c>
    </row>
    <row r="902" spans="35:42" x14ac:dyDescent="0.2">
      <c r="AI902">
        <v>5</v>
      </c>
      <c r="AJ902">
        <v>4</v>
      </c>
      <c r="AK902">
        <v>2</v>
      </c>
      <c r="AL902">
        <v>3</v>
      </c>
      <c r="AM902">
        <v>2</v>
      </c>
      <c r="AN902">
        <f t="shared" si="42"/>
        <v>240</v>
      </c>
      <c r="AO902" cm="1">
        <f t="array" ref="AO902">PRODUCT(_xlfn.XLOOKUP(AI902:AM902,$B$3:$B$6,$C$3:$C$6))</f>
        <v>0</v>
      </c>
      <c r="AP902">
        <f t="shared" si="43"/>
        <v>0</v>
      </c>
    </row>
    <row r="903" spans="35:42" x14ac:dyDescent="0.2">
      <c r="AI903">
        <v>5</v>
      </c>
      <c r="AJ903">
        <v>4</v>
      </c>
      <c r="AK903">
        <v>2</v>
      </c>
      <c r="AL903">
        <v>3</v>
      </c>
      <c r="AM903">
        <v>3</v>
      </c>
      <c r="AN903">
        <f t="shared" si="42"/>
        <v>360</v>
      </c>
      <c r="AO903" cm="1">
        <f t="array" ref="AO903">PRODUCT(_xlfn.XLOOKUP(AI903:AM903,$B$3:$B$6,$C$3:$C$6))</f>
        <v>0</v>
      </c>
      <c r="AP903">
        <f t="shared" si="43"/>
        <v>0</v>
      </c>
    </row>
    <row r="904" spans="35:42" x14ac:dyDescent="0.2">
      <c r="AI904">
        <v>5</v>
      </c>
      <c r="AJ904">
        <v>4</v>
      </c>
      <c r="AK904">
        <v>2</v>
      </c>
      <c r="AL904">
        <v>3</v>
      </c>
      <c r="AM904">
        <v>4</v>
      </c>
      <c r="AN904">
        <f t="shared" si="42"/>
        <v>480</v>
      </c>
      <c r="AO904" cm="1">
        <f t="array" ref="AO904">PRODUCT(_xlfn.XLOOKUP(AI904:AM904,$B$3:$B$6,$C$3:$C$6))</f>
        <v>0</v>
      </c>
      <c r="AP904">
        <f t="shared" si="43"/>
        <v>0</v>
      </c>
    </row>
    <row r="905" spans="35:42" x14ac:dyDescent="0.2">
      <c r="AI905">
        <v>5</v>
      </c>
      <c r="AJ905">
        <v>4</v>
      </c>
      <c r="AK905">
        <v>2</v>
      </c>
      <c r="AL905">
        <v>3</v>
      </c>
      <c r="AM905">
        <v>5</v>
      </c>
      <c r="AN905">
        <f t="shared" si="42"/>
        <v>600</v>
      </c>
      <c r="AO905" cm="1">
        <f t="array" ref="AO905">PRODUCT(_xlfn.XLOOKUP(AI905:AM905,$B$3:$B$6,$C$3:$C$6))</f>
        <v>0</v>
      </c>
      <c r="AP905">
        <f t="shared" si="43"/>
        <v>0</v>
      </c>
    </row>
    <row r="906" spans="35:42" x14ac:dyDescent="0.2">
      <c r="AI906">
        <v>5</v>
      </c>
      <c r="AJ906">
        <v>4</v>
      </c>
      <c r="AK906">
        <v>2</v>
      </c>
      <c r="AL906">
        <v>4</v>
      </c>
      <c r="AM906">
        <v>2</v>
      </c>
      <c r="AN906">
        <f t="shared" si="42"/>
        <v>320</v>
      </c>
      <c r="AO906" cm="1">
        <f t="array" ref="AO906">PRODUCT(_xlfn.XLOOKUP(AI906:AM906,$B$3:$B$6,$C$3:$C$6))</f>
        <v>0</v>
      </c>
      <c r="AP906">
        <f t="shared" si="43"/>
        <v>0</v>
      </c>
    </row>
    <row r="907" spans="35:42" x14ac:dyDescent="0.2">
      <c r="AI907">
        <v>5</v>
      </c>
      <c r="AJ907">
        <v>4</v>
      </c>
      <c r="AK907">
        <v>2</v>
      </c>
      <c r="AL907">
        <v>4</v>
      </c>
      <c r="AM907">
        <v>3</v>
      </c>
      <c r="AN907">
        <f t="shared" si="42"/>
        <v>480</v>
      </c>
      <c r="AO907" cm="1">
        <f t="array" ref="AO907">PRODUCT(_xlfn.XLOOKUP(AI907:AM907,$B$3:$B$6,$C$3:$C$6))</f>
        <v>0</v>
      </c>
      <c r="AP907">
        <f t="shared" si="43"/>
        <v>0</v>
      </c>
    </row>
    <row r="908" spans="35:42" x14ac:dyDescent="0.2">
      <c r="AI908">
        <v>5</v>
      </c>
      <c r="AJ908">
        <v>4</v>
      </c>
      <c r="AK908">
        <v>2</v>
      </c>
      <c r="AL908">
        <v>4</v>
      </c>
      <c r="AM908">
        <v>4</v>
      </c>
      <c r="AN908">
        <f t="shared" si="42"/>
        <v>640</v>
      </c>
      <c r="AO908" cm="1">
        <f t="array" ref="AO908">PRODUCT(_xlfn.XLOOKUP(AI908:AM908,$B$3:$B$6,$C$3:$C$6))</f>
        <v>0</v>
      </c>
      <c r="AP908">
        <f t="shared" si="43"/>
        <v>0</v>
      </c>
    </row>
    <row r="909" spans="35:42" x14ac:dyDescent="0.2">
      <c r="AI909">
        <v>5</v>
      </c>
      <c r="AJ909">
        <v>4</v>
      </c>
      <c r="AK909">
        <v>2</v>
      </c>
      <c r="AL909">
        <v>4</v>
      </c>
      <c r="AM909">
        <v>5</v>
      </c>
      <c r="AN909">
        <f t="shared" si="42"/>
        <v>800</v>
      </c>
      <c r="AO909" cm="1">
        <f t="array" ref="AO909">PRODUCT(_xlfn.XLOOKUP(AI909:AM909,$B$3:$B$6,$C$3:$C$6))</f>
        <v>0</v>
      </c>
      <c r="AP909">
        <f t="shared" si="43"/>
        <v>0</v>
      </c>
    </row>
    <row r="910" spans="35:42" x14ac:dyDescent="0.2">
      <c r="AI910">
        <v>5</v>
      </c>
      <c r="AJ910">
        <v>4</v>
      </c>
      <c r="AK910">
        <v>2</v>
      </c>
      <c r="AL910">
        <v>5</v>
      </c>
      <c r="AM910">
        <v>2</v>
      </c>
      <c r="AN910">
        <f t="shared" si="42"/>
        <v>400</v>
      </c>
      <c r="AO910" cm="1">
        <f t="array" ref="AO910">PRODUCT(_xlfn.XLOOKUP(AI910:AM910,$B$3:$B$6,$C$3:$C$6))</f>
        <v>0</v>
      </c>
      <c r="AP910">
        <f t="shared" si="43"/>
        <v>0</v>
      </c>
    </row>
    <row r="911" spans="35:42" x14ac:dyDescent="0.2">
      <c r="AI911">
        <v>5</v>
      </c>
      <c r="AJ911">
        <v>4</v>
      </c>
      <c r="AK911">
        <v>2</v>
      </c>
      <c r="AL911">
        <v>5</v>
      </c>
      <c r="AM911">
        <v>3</v>
      </c>
      <c r="AN911">
        <f t="shared" si="42"/>
        <v>600</v>
      </c>
      <c r="AO911" cm="1">
        <f t="array" ref="AO911">PRODUCT(_xlfn.XLOOKUP(AI911:AM911,$B$3:$B$6,$C$3:$C$6))</f>
        <v>0</v>
      </c>
      <c r="AP911">
        <f t="shared" si="43"/>
        <v>0</v>
      </c>
    </row>
    <row r="912" spans="35:42" x14ac:dyDescent="0.2">
      <c r="AI912">
        <v>5</v>
      </c>
      <c r="AJ912">
        <v>4</v>
      </c>
      <c r="AK912">
        <v>2</v>
      </c>
      <c r="AL912">
        <v>5</v>
      </c>
      <c r="AM912">
        <v>4</v>
      </c>
      <c r="AN912">
        <f t="shared" si="42"/>
        <v>800</v>
      </c>
      <c r="AO912" cm="1">
        <f t="array" ref="AO912">PRODUCT(_xlfn.XLOOKUP(AI912:AM912,$B$3:$B$6,$C$3:$C$6))</f>
        <v>0</v>
      </c>
      <c r="AP912">
        <f t="shared" si="43"/>
        <v>0</v>
      </c>
    </row>
    <row r="913" spans="35:42" x14ac:dyDescent="0.2">
      <c r="AI913">
        <v>5</v>
      </c>
      <c r="AJ913">
        <v>4</v>
      </c>
      <c r="AK913">
        <v>2</v>
      </c>
      <c r="AL913">
        <v>5</v>
      </c>
      <c r="AM913">
        <v>5</v>
      </c>
      <c r="AN913">
        <f t="shared" si="42"/>
        <v>1000</v>
      </c>
      <c r="AO913" cm="1">
        <f t="array" ref="AO913">PRODUCT(_xlfn.XLOOKUP(AI913:AM913,$B$3:$B$6,$C$3:$C$6))</f>
        <v>0</v>
      </c>
      <c r="AP913">
        <f t="shared" si="43"/>
        <v>0</v>
      </c>
    </row>
    <row r="914" spans="35:42" x14ac:dyDescent="0.2">
      <c r="AI914">
        <v>5</v>
      </c>
      <c r="AJ914">
        <v>4</v>
      </c>
      <c r="AK914">
        <v>3</v>
      </c>
      <c r="AL914">
        <v>2</v>
      </c>
      <c r="AM914">
        <v>2</v>
      </c>
      <c r="AN914">
        <f t="shared" si="42"/>
        <v>240</v>
      </c>
      <c r="AO914" cm="1">
        <f t="array" ref="AO914">PRODUCT(_xlfn.XLOOKUP(AI914:AM914,$B$3:$B$6,$C$3:$C$6))</f>
        <v>0</v>
      </c>
      <c r="AP914">
        <f t="shared" si="43"/>
        <v>0</v>
      </c>
    </row>
    <row r="915" spans="35:42" x14ac:dyDescent="0.2">
      <c r="AI915">
        <v>5</v>
      </c>
      <c r="AJ915">
        <v>4</v>
      </c>
      <c r="AK915">
        <v>3</v>
      </c>
      <c r="AL915">
        <v>2</v>
      </c>
      <c r="AM915">
        <v>3</v>
      </c>
      <c r="AN915">
        <f t="shared" si="42"/>
        <v>360</v>
      </c>
      <c r="AO915" cm="1">
        <f t="array" ref="AO915">PRODUCT(_xlfn.XLOOKUP(AI915:AM915,$B$3:$B$6,$C$3:$C$6))</f>
        <v>0</v>
      </c>
      <c r="AP915">
        <f t="shared" si="43"/>
        <v>0</v>
      </c>
    </row>
    <row r="916" spans="35:42" x14ac:dyDescent="0.2">
      <c r="AI916">
        <v>5</v>
      </c>
      <c r="AJ916">
        <v>4</v>
      </c>
      <c r="AK916">
        <v>3</v>
      </c>
      <c r="AL916">
        <v>2</v>
      </c>
      <c r="AM916">
        <v>4</v>
      </c>
      <c r="AN916">
        <f t="shared" si="42"/>
        <v>480</v>
      </c>
      <c r="AO916" cm="1">
        <f t="array" ref="AO916">PRODUCT(_xlfn.XLOOKUP(AI916:AM916,$B$3:$B$6,$C$3:$C$6))</f>
        <v>0</v>
      </c>
      <c r="AP916">
        <f t="shared" si="43"/>
        <v>0</v>
      </c>
    </row>
    <row r="917" spans="35:42" x14ac:dyDescent="0.2">
      <c r="AI917">
        <v>5</v>
      </c>
      <c r="AJ917">
        <v>4</v>
      </c>
      <c r="AK917">
        <v>3</v>
      </c>
      <c r="AL917">
        <v>2</v>
      </c>
      <c r="AM917">
        <v>5</v>
      </c>
      <c r="AN917">
        <f t="shared" si="42"/>
        <v>600</v>
      </c>
      <c r="AO917" cm="1">
        <f t="array" ref="AO917">PRODUCT(_xlfn.XLOOKUP(AI917:AM917,$B$3:$B$6,$C$3:$C$6))</f>
        <v>0</v>
      </c>
      <c r="AP917">
        <f t="shared" si="43"/>
        <v>0</v>
      </c>
    </row>
    <row r="918" spans="35:42" x14ac:dyDescent="0.2">
      <c r="AI918">
        <v>5</v>
      </c>
      <c r="AJ918">
        <v>4</v>
      </c>
      <c r="AK918">
        <v>3</v>
      </c>
      <c r="AL918">
        <v>3</v>
      </c>
      <c r="AM918">
        <v>2</v>
      </c>
      <c r="AN918">
        <f t="shared" si="42"/>
        <v>360</v>
      </c>
      <c r="AO918" cm="1">
        <f t="array" ref="AO918">PRODUCT(_xlfn.XLOOKUP(AI918:AM918,$B$3:$B$6,$C$3:$C$6))</f>
        <v>0</v>
      </c>
      <c r="AP918">
        <f t="shared" si="43"/>
        <v>0</v>
      </c>
    </row>
    <row r="919" spans="35:42" x14ac:dyDescent="0.2">
      <c r="AI919">
        <v>5</v>
      </c>
      <c r="AJ919">
        <v>4</v>
      </c>
      <c r="AK919">
        <v>3</v>
      </c>
      <c r="AL919">
        <v>3</v>
      </c>
      <c r="AM919">
        <v>3</v>
      </c>
      <c r="AN919">
        <f t="shared" si="42"/>
        <v>540</v>
      </c>
      <c r="AO919" cm="1">
        <f t="array" ref="AO919">PRODUCT(_xlfn.XLOOKUP(AI919:AM919,$B$3:$B$6,$C$3:$C$6))</f>
        <v>0</v>
      </c>
      <c r="AP919">
        <f t="shared" si="43"/>
        <v>0</v>
      </c>
    </row>
    <row r="920" spans="35:42" x14ac:dyDescent="0.2">
      <c r="AI920">
        <v>5</v>
      </c>
      <c r="AJ920">
        <v>4</v>
      </c>
      <c r="AK920">
        <v>3</v>
      </c>
      <c r="AL920">
        <v>3</v>
      </c>
      <c r="AM920">
        <v>4</v>
      </c>
      <c r="AN920">
        <f t="shared" si="42"/>
        <v>720</v>
      </c>
      <c r="AO920" cm="1">
        <f t="array" ref="AO920">PRODUCT(_xlfn.XLOOKUP(AI920:AM920,$B$3:$B$6,$C$3:$C$6))</f>
        <v>0</v>
      </c>
      <c r="AP920">
        <f t="shared" si="43"/>
        <v>0</v>
      </c>
    </row>
    <row r="921" spans="35:42" x14ac:dyDescent="0.2">
      <c r="AI921">
        <v>5</v>
      </c>
      <c r="AJ921">
        <v>4</v>
      </c>
      <c r="AK921">
        <v>3</v>
      </c>
      <c r="AL921">
        <v>3</v>
      </c>
      <c r="AM921">
        <v>5</v>
      </c>
      <c r="AN921">
        <f t="shared" si="42"/>
        <v>900</v>
      </c>
      <c r="AO921" cm="1">
        <f t="array" ref="AO921">PRODUCT(_xlfn.XLOOKUP(AI921:AM921,$B$3:$B$6,$C$3:$C$6))</f>
        <v>0</v>
      </c>
      <c r="AP921">
        <f t="shared" si="43"/>
        <v>0</v>
      </c>
    </row>
    <row r="922" spans="35:42" x14ac:dyDescent="0.2">
      <c r="AI922">
        <v>5</v>
      </c>
      <c r="AJ922">
        <v>4</v>
      </c>
      <c r="AK922">
        <v>3</v>
      </c>
      <c r="AL922">
        <v>4</v>
      </c>
      <c r="AM922">
        <v>2</v>
      </c>
      <c r="AN922">
        <f t="shared" si="42"/>
        <v>480</v>
      </c>
      <c r="AO922" cm="1">
        <f t="array" ref="AO922">PRODUCT(_xlfn.XLOOKUP(AI922:AM922,$B$3:$B$6,$C$3:$C$6))</f>
        <v>0</v>
      </c>
      <c r="AP922">
        <f t="shared" si="43"/>
        <v>0</v>
      </c>
    </row>
    <row r="923" spans="35:42" x14ac:dyDescent="0.2">
      <c r="AI923">
        <v>5</v>
      </c>
      <c r="AJ923">
        <v>4</v>
      </c>
      <c r="AK923">
        <v>3</v>
      </c>
      <c r="AL923">
        <v>4</v>
      </c>
      <c r="AM923">
        <v>3</v>
      </c>
      <c r="AN923">
        <f t="shared" si="42"/>
        <v>720</v>
      </c>
      <c r="AO923" cm="1">
        <f t="array" ref="AO923">PRODUCT(_xlfn.XLOOKUP(AI923:AM923,$B$3:$B$6,$C$3:$C$6))</f>
        <v>0</v>
      </c>
      <c r="AP923">
        <f t="shared" si="43"/>
        <v>0</v>
      </c>
    </row>
    <row r="924" spans="35:42" x14ac:dyDescent="0.2">
      <c r="AI924">
        <v>5</v>
      </c>
      <c r="AJ924">
        <v>4</v>
      </c>
      <c r="AK924">
        <v>3</v>
      </c>
      <c r="AL924">
        <v>4</v>
      </c>
      <c r="AM924">
        <v>4</v>
      </c>
      <c r="AN924">
        <f t="shared" si="42"/>
        <v>960</v>
      </c>
      <c r="AO924" cm="1">
        <f t="array" ref="AO924">PRODUCT(_xlfn.XLOOKUP(AI924:AM924,$B$3:$B$6,$C$3:$C$6))</f>
        <v>0</v>
      </c>
      <c r="AP924">
        <f t="shared" si="43"/>
        <v>0</v>
      </c>
    </row>
    <row r="925" spans="35:42" x14ac:dyDescent="0.2">
      <c r="AI925">
        <v>5</v>
      </c>
      <c r="AJ925">
        <v>4</v>
      </c>
      <c r="AK925">
        <v>3</v>
      </c>
      <c r="AL925">
        <v>4</v>
      </c>
      <c r="AM925">
        <v>5</v>
      </c>
      <c r="AN925">
        <f t="shared" si="42"/>
        <v>1200</v>
      </c>
      <c r="AO925" cm="1">
        <f t="array" ref="AO925">PRODUCT(_xlfn.XLOOKUP(AI925:AM925,$B$3:$B$6,$C$3:$C$6))</f>
        <v>0</v>
      </c>
      <c r="AP925">
        <f t="shared" si="43"/>
        <v>0</v>
      </c>
    </row>
    <row r="926" spans="35:42" x14ac:dyDescent="0.2">
      <c r="AI926">
        <v>5</v>
      </c>
      <c r="AJ926">
        <v>4</v>
      </c>
      <c r="AK926">
        <v>3</v>
      </c>
      <c r="AL926">
        <v>5</v>
      </c>
      <c r="AM926">
        <v>2</v>
      </c>
      <c r="AN926">
        <f t="shared" si="42"/>
        <v>600</v>
      </c>
      <c r="AO926" cm="1">
        <f t="array" ref="AO926">PRODUCT(_xlfn.XLOOKUP(AI926:AM926,$B$3:$B$6,$C$3:$C$6))</f>
        <v>0</v>
      </c>
      <c r="AP926">
        <f t="shared" si="43"/>
        <v>0</v>
      </c>
    </row>
    <row r="927" spans="35:42" x14ac:dyDescent="0.2">
      <c r="AI927">
        <v>5</v>
      </c>
      <c r="AJ927">
        <v>4</v>
      </c>
      <c r="AK927">
        <v>3</v>
      </c>
      <c r="AL927">
        <v>5</v>
      </c>
      <c r="AM927">
        <v>3</v>
      </c>
      <c r="AN927">
        <f t="shared" si="42"/>
        <v>900</v>
      </c>
      <c r="AO927" cm="1">
        <f t="array" ref="AO927">PRODUCT(_xlfn.XLOOKUP(AI927:AM927,$B$3:$B$6,$C$3:$C$6))</f>
        <v>0</v>
      </c>
      <c r="AP927">
        <f t="shared" si="43"/>
        <v>0</v>
      </c>
    </row>
    <row r="928" spans="35:42" x14ac:dyDescent="0.2">
      <c r="AI928">
        <v>5</v>
      </c>
      <c r="AJ928">
        <v>4</v>
      </c>
      <c r="AK928">
        <v>3</v>
      </c>
      <c r="AL928">
        <v>5</v>
      </c>
      <c r="AM928">
        <v>4</v>
      </c>
      <c r="AN928">
        <f t="shared" si="42"/>
        <v>1200</v>
      </c>
      <c r="AO928" cm="1">
        <f t="array" ref="AO928">PRODUCT(_xlfn.XLOOKUP(AI928:AM928,$B$3:$B$6,$C$3:$C$6))</f>
        <v>0</v>
      </c>
      <c r="AP928">
        <f t="shared" si="43"/>
        <v>0</v>
      </c>
    </row>
    <row r="929" spans="35:42" x14ac:dyDescent="0.2">
      <c r="AI929">
        <v>5</v>
      </c>
      <c r="AJ929">
        <v>4</v>
      </c>
      <c r="AK929">
        <v>3</v>
      </c>
      <c r="AL929">
        <v>5</v>
      </c>
      <c r="AM929">
        <v>5</v>
      </c>
      <c r="AN929">
        <f t="shared" si="42"/>
        <v>1500</v>
      </c>
      <c r="AO929" cm="1">
        <f t="array" ref="AO929">PRODUCT(_xlfn.XLOOKUP(AI929:AM929,$B$3:$B$6,$C$3:$C$6))</f>
        <v>0</v>
      </c>
      <c r="AP929">
        <f t="shared" si="43"/>
        <v>0</v>
      </c>
    </row>
    <row r="930" spans="35:42" x14ac:dyDescent="0.2">
      <c r="AI930">
        <v>5</v>
      </c>
      <c r="AJ930">
        <v>4</v>
      </c>
      <c r="AK930">
        <v>4</v>
      </c>
      <c r="AL930">
        <v>2</v>
      </c>
      <c r="AM930">
        <v>2</v>
      </c>
      <c r="AN930">
        <f t="shared" si="42"/>
        <v>320</v>
      </c>
      <c r="AO930" cm="1">
        <f t="array" ref="AO930">PRODUCT(_xlfn.XLOOKUP(AI930:AM930,$B$3:$B$6,$C$3:$C$6))</f>
        <v>0</v>
      </c>
      <c r="AP930">
        <f t="shared" si="43"/>
        <v>0</v>
      </c>
    </row>
    <row r="931" spans="35:42" x14ac:dyDescent="0.2">
      <c r="AI931">
        <v>5</v>
      </c>
      <c r="AJ931">
        <v>4</v>
      </c>
      <c r="AK931">
        <v>4</v>
      </c>
      <c r="AL931">
        <v>2</v>
      </c>
      <c r="AM931">
        <v>3</v>
      </c>
      <c r="AN931">
        <f t="shared" si="42"/>
        <v>480</v>
      </c>
      <c r="AO931" cm="1">
        <f t="array" ref="AO931">PRODUCT(_xlfn.XLOOKUP(AI931:AM931,$B$3:$B$6,$C$3:$C$6))</f>
        <v>0</v>
      </c>
      <c r="AP931">
        <f t="shared" si="43"/>
        <v>0</v>
      </c>
    </row>
    <row r="932" spans="35:42" x14ac:dyDescent="0.2">
      <c r="AI932">
        <v>5</v>
      </c>
      <c r="AJ932">
        <v>4</v>
      </c>
      <c r="AK932">
        <v>4</v>
      </c>
      <c r="AL932">
        <v>2</v>
      </c>
      <c r="AM932">
        <v>4</v>
      </c>
      <c r="AN932">
        <f t="shared" si="42"/>
        <v>640</v>
      </c>
      <c r="AO932" cm="1">
        <f t="array" ref="AO932">PRODUCT(_xlfn.XLOOKUP(AI932:AM932,$B$3:$B$6,$C$3:$C$6))</f>
        <v>0</v>
      </c>
      <c r="AP932">
        <f t="shared" si="43"/>
        <v>0</v>
      </c>
    </row>
    <row r="933" spans="35:42" x14ac:dyDescent="0.2">
      <c r="AI933">
        <v>5</v>
      </c>
      <c r="AJ933">
        <v>4</v>
      </c>
      <c r="AK933">
        <v>4</v>
      </c>
      <c r="AL933">
        <v>2</v>
      </c>
      <c r="AM933">
        <v>5</v>
      </c>
      <c r="AN933">
        <f t="shared" si="42"/>
        <v>800</v>
      </c>
      <c r="AO933" cm="1">
        <f t="array" ref="AO933">PRODUCT(_xlfn.XLOOKUP(AI933:AM933,$B$3:$B$6,$C$3:$C$6))</f>
        <v>0</v>
      </c>
      <c r="AP933">
        <f t="shared" si="43"/>
        <v>0</v>
      </c>
    </row>
    <row r="934" spans="35:42" x14ac:dyDescent="0.2">
      <c r="AI934">
        <v>5</v>
      </c>
      <c r="AJ934">
        <v>4</v>
      </c>
      <c r="AK934">
        <v>4</v>
      </c>
      <c r="AL934">
        <v>3</v>
      </c>
      <c r="AM934">
        <v>2</v>
      </c>
      <c r="AN934">
        <f t="shared" si="42"/>
        <v>480</v>
      </c>
      <c r="AO934" cm="1">
        <f t="array" ref="AO934">PRODUCT(_xlfn.XLOOKUP(AI934:AM934,$B$3:$B$6,$C$3:$C$6))</f>
        <v>0</v>
      </c>
      <c r="AP934">
        <f t="shared" si="43"/>
        <v>0</v>
      </c>
    </row>
    <row r="935" spans="35:42" x14ac:dyDescent="0.2">
      <c r="AI935">
        <v>5</v>
      </c>
      <c r="AJ935">
        <v>4</v>
      </c>
      <c r="AK935">
        <v>4</v>
      </c>
      <c r="AL935">
        <v>3</v>
      </c>
      <c r="AM935">
        <v>3</v>
      </c>
      <c r="AN935">
        <f t="shared" si="42"/>
        <v>720</v>
      </c>
      <c r="AO935" cm="1">
        <f t="array" ref="AO935">PRODUCT(_xlfn.XLOOKUP(AI935:AM935,$B$3:$B$6,$C$3:$C$6))</f>
        <v>0</v>
      </c>
      <c r="AP935">
        <f t="shared" si="43"/>
        <v>0</v>
      </c>
    </row>
    <row r="936" spans="35:42" x14ac:dyDescent="0.2">
      <c r="AI936">
        <v>5</v>
      </c>
      <c r="AJ936">
        <v>4</v>
      </c>
      <c r="AK936">
        <v>4</v>
      </c>
      <c r="AL936">
        <v>3</v>
      </c>
      <c r="AM936">
        <v>4</v>
      </c>
      <c r="AN936">
        <f t="shared" si="42"/>
        <v>960</v>
      </c>
      <c r="AO936" cm="1">
        <f t="array" ref="AO936">PRODUCT(_xlfn.XLOOKUP(AI936:AM936,$B$3:$B$6,$C$3:$C$6))</f>
        <v>0</v>
      </c>
      <c r="AP936">
        <f t="shared" si="43"/>
        <v>0</v>
      </c>
    </row>
    <row r="937" spans="35:42" x14ac:dyDescent="0.2">
      <c r="AI937">
        <v>5</v>
      </c>
      <c r="AJ937">
        <v>4</v>
      </c>
      <c r="AK937">
        <v>4</v>
      </c>
      <c r="AL937">
        <v>3</v>
      </c>
      <c r="AM937">
        <v>5</v>
      </c>
      <c r="AN937">
        <f t="shared" si="42"/>
        <v>1200</v>
      </c>
      <c r="AO937" cm="1">
        <f t="array" ref="AO937">PRODUCT(_xlfn.XLOOKUP(AI937:AM937,$B$3:$B$6,$C$3:$C$6))</f>
        <v>0</v>
      </c>
      <c r="AP937">
        <f t="shared" si="43"/>
        <v>0</v>
      </c>
    </row>
    <row r="938" spans="35:42" x14ac:dyDescent="0.2">
      <c r="AI938">
        <v>5</v>
      </c>
      <c r="AJ938">
        <v>4</v>
      </c>
      <c r="AK938">
        <v>4</v>
      </c>
      <c r="AL938">
        <v>4</v>
      </c>
      <c r="AM938">
        <v>2</v>
      </c>
      <c r="AN938">
        <f t="shared" si="42"/>
        <v>640</v>
      </c>
      <c r="AO938" cm="1">
        <f t="array" ref="AO938">PRODUCT(_xlfn.XLOOKUP(AI938:AM938,$B$3:$B$6,$C$3:$C$6))</f>
        <v>0</v>
      </c>
      <c r="AP938">
        <f t="shared" si="43"/>
        <v>0</v>
      </c>
    </row>
    <row r="939" spans="35:42" x14ac:dyDescent="0.2">
      <c r="AI939">
        <v>5</v>
      </c>
      <c r="AJ939">
        <v>4</v>
      </c>
      <c r="AK939">
        <v>4</v>
      </c>
      <c r="AL939">
        <v>4</v>
      </c>
      <c r="AM939">
        <v>3</v>
      </c>
      <c r="AN939">
        <f t="shared" si="42"/>
        <v>960</v>
      </c>
      <c r="AO939" cm="1">
        <f t="array" ref="AO939">PRODUCT(_xlfn.XLOOKUP(AI939:AM939,$B$3:$B$6,$C$3:$C$6))</f>
        <v>0</v>
      </c>
      <c r="AP939">
        <f t="shared" si="43"/>
        <v>0</v>
      </c>
    </row>
    <row r="940" spans="35:42" x14ac:dyDescent="0.2">
      <c r="AI940">
        <v>5</v>
      </c>
      <c r="AJ940">
        <v>4</v>
      </c>
      <c r="AK940">
        <v>4</v>
      </c>
      <c r="AL940">
        <v>4</v>
      </c>
      <c r="AM940">
        <v>4</v>
      </c>
      <c r="AN940">
        <f t="shared" si="42"/>
        <v>1280</v>
      </c>
      <c r="AO940" cm="1">
        <f t="array" ref="AO940">PRODUCT(_xlfn.XLOOKUP(AI940:AM940,$B$3:$B$6,$C$3:$C$6))</f>
        <v>0</v>
      </c>
      <c r="AP940">
        <f t="shared" si="43"/>
        <v>0</v>
      </c>
    </row>
    <row r="941" spans="35:42" x14ac:dyDescent="0.2">
      <c r="AI941">
        <v>5</v>
      </c>
      <c r="AJ941">
        <v>4</v>
      </c>
      <c r="AK941">
        <v>4</v>
      </c>
      <c r="AL941">
        <v>4</v>
      </c>
      <c r="AM941">
        <v>5</v>
      </c>
      <c r="AN941">
        <f t="shared" si="42"/>
        <v>1600</v>
      </c>
      <c r="AO941" cm="1">
        <f t="array" ref="AO941">PRODUCT(_xlfn.XLOOKUP(AI941:AM941,$B$3:$B$6,$C$3:$C$6))</f>
        <v>0</v>
      </c>
      <c r="AP941">
        <f t="shared" si="43"/>
        <v>0</v>
      </c>
    </row>
    <row r="942" spans="35:42" x14ac:dyDescent="0.2">
      <c r="AI942">
        <v>5</v>
      </c>
      <c r="AJ942">
        <v>4</v>
      </c>
      <c r="AK942">
        <v>4</v>
      </c>
      <c r="AL942">
        <v>5</v>
      </c>
      <c r="AM942">
        <v>2</v>
      </c>
      <c r="AN942">
        <f t="shared" si="42"/>
        <v>800</v>
      </c>
      <c r="AO942" cm="1">
        <f t="array" ref="AO942">PRODUCT(_xlfn.XLOOKUP(AI942:AM942,$B$3:$B$6,$C$3:$C$6))</f>
        <v>0</v>
      </c>
      <c r="AP942">
        <f t="shared" si="43"/>
        <v>0</v>
      </c>
    </row>
    <row r="943" spans="35:42" x14ac:dyDescent="0.2">
      <c r="AI943">
        <v>5</v>
      </c>
      <c r="AJ943">
        <v>4</v>
      </c>
      <c r="AK943">
        <v>4</v>
      </c>
      <c r="AL943">
        <v>5</v>
      </c>
      <c r="AM943">
        <v>3</v>
      </c>
      <c r="AN943">
        <f t="shared" si="42"/>
        <v>1200</v>
      </c>
      <c r="AO943" cm="1">
        <f t="array" ref="AO943">PRODUCT(_xlfn.XLOOKUP(AI943:AM943,$B$3:$B$6,$C$3:$C$6))</f>
        <v>0</v>
      </c>
      <c r="AP943">
        <f t="shared" si="43"/>
        <v>0</v>
      </c>
    </row>
    <row r="944" spans="35:42" x14ac:dyDescent="0.2">
      <c r="AI944">
        <v>5</v>
      </c>
      <c r="AJ944">
        <v>4</v>
      </c>
      <c r="AK944">
        <v>4</v>
      </c>
      <c r="AL944">
        <v>5</v>
      </c>
      <c r="AM944">
        <v>4</v>
      </c>
      <c r="AN944">
        <f t="shared" si="42"/>
        <v>1600</v>
      </c>
      <c r="AO944" cm="1">
        <f t="array" ref="AO944">PRODUCT(_xlfn.XLOOKUP(AI944:AM944,$B$3:$B$6,$C$3:$C$6))</f>
        <v>0</v>
      </c>
      <c r="AP944">
        <f t="shared" si="43"/>
        <v>0</v>
      </c>
    </row>
    <row r="945" spans="35:42" x14ac:dyDescent="0.2">
      <c r="AI945">
        <v>5</v>
      </c>
      <c r="AJ945">
        <v>4</v>
      </c>
      <c r="AK945">
        <v>4</v>
      </c>
      <c r="AL945">
        <v>5</v>
      </c>
      <c r="AM945">
        <v>5</v>
      </c>
      <c r="AN945">
        <f t="shared" si="42"/>
        <v>2000</v>
      </c>
      <c r="AO945" cm="1">
        <f t="array" ref="AO945">PRODUCT(_xlfn.XLOOKUP(AI945:AM945,$B$3:$B$6,$C$3:$C$6))</f>
        <v>0</v>
      </c>
      <c r="AP945">
        <f t="shared" si="43"/>
        <v>0</v>
      </c>
    </row>
    <row r="946" spans="35:42" x14ac:dyDescent="0.2">
      <c r="AI946">
        <v>5</v>
      </c>
      <c r="AJ946">
        <v>4</v>
      </c>
      <c r="AK946">
        <v>5</v>
      </c>
      <c r="AL946">
        <v>2</v>
      </c>
      <c r="AM946">
        <v>2</v>
      </c>
      <c r="AN946">
        <f t="shared" si="42"/>
        <v>400</v>
      </c>
      <c r="AO946" cm="1">
        <f t="array" ref="AO946">PRODUCT(_xlfn.XLOOKUP(AI946:AM946,$B$3:$B$6,$C$3:$C$6))</f>
        <v>0</v>
      </c>
      <c r="AP946">
        <f t="shared" si="43"/>
        <v>0</v>
      </c>
    </row>
    <row r="947" spans="35:42" x14ac:dyDescent="0.2">
      <c r="AI947">
        <v>5</v>
      </c>
      <c r="AJ947">
        <v>4</v>
      </c>
      <c r="AK947">
        <v>5</v>
      </c>
      <c r="AL947">
        <v>2</v>
      </c>
      <c r="AM947">
        <v>3</v>
      </c>
      <c r="AN947">
        <f t="shared" si="42"/>
        <v>600</v>
      </c>
      <c r="AO947" cm="1">
        <f t="array" ref="AO947">PRODUCT(_xlfn.XLOOKUP(AI947:AM947,$B$3:$B$6,$C$3:$C$6))</f>
        <v>0</v>
      </c>
      <c r="AP947">
        <f t="shared" si="43"/>
        <v>0</v>
      </c>
    </row>
    <row r="948" spans="35:42" x14ac:dyDescent="0.2">
      <c r="AI948">
        <v>5</v>
      </c>
      <c r="AJ948">
        <v>4</v>
      </c>
      <c r="AK948">
        <v>5</v>
      </c>
      <c r="AL948">
        <v>2</v>
      </c>
      <c r="AM948">
        <v>4</v>
      </c>
      <c r="AN948">
        <f t="shared" si="42"/>
        <v>800</v>
      </c>
      <c r="AO948" cm="1">
        <f t="array" ref="AO948">PRODUCT(_xlfn.XLOOKUP(AI948:AM948,$B$3:$B$6,$C$3:$C$6))</f>
        <v>0</v>
      </c>
      <c r="AP948">
        <f t="shared" si="43"/>
        <v>0</v>
      </c>
    </row>
    <row r="949" spans="35:42" x14ac:dyDescent="0.2">
      <c r="AI949">
        <v>5</v>
      </c>
      <c r="AJ949">
        <v>4</v>
      </c>
      <c r="AK949">
        <v>5</v>
      </c>
      <c r="AL949">
        <v>2</v>
      </c>
      <c r="AM949">
        <v>5</v>
      </c>
      <c r="AN949">
        <f t="shared" si="42"/>
        <v>1000</v>
      </c>
      <c r="AO949" cm="1">
        <f t="array" ref="AO949">PRODUCT(_xlfn.XLOOKUP(AI949:AM949,$B$3:$B$6,$C$3:$C$6))</f>
        <v>0</v>
      </c>
      <c r="AP949">
        <f t="shared" si="43"/>
        <v>0</v>
      </c>
    </row>
    <row r="950" spans="35:42" x14ac:dyDescent="0.2">
      <c r="AI950">
        <v>5</v>
      </c>
      <c r="AJ950">
        <v>4</v>
      </c>
      <c r="AK950">
        <v>5</v>
      </c>
      <c r="AL950">
        <v>3</v>
      </c>
      <c r="AM950">
        <v>2</v>
      </c>
      <c r="AN950">
        <f t="shared" si="42"/>
        <v>600</v>
      </c>
      <c r="AO950" cm="1">
        <f t="array" ref="AO950">PRODUCT(_xlfn.XLOOKUP(AI950:AM950,$B$3:$B$6,$C$3:$C$6))</f>
        <v>0</v>
      </c>
      <c r="AP950">
        <f t="shared" si="43"/>
        <v>0</v>
      </c>
    </row>
    <row r="951" spans="35:42" x14ac:dyDescent="0.2">
      <c r="AI951">
        <v>5</v>
      </c>
      <c r="AJ951">
        <v>4</v>
      </c>
      <c r="AK951">
        <v>5</v>
      </c>
      <c r="AL951">
        <v>3</v>
      </c>
      <c r="AM951">
        <v>3</v>
      </c>
      <c r="AN951">
        <f t="shared" si="42"/>
        <v>900</v>
      </c>
      <c r="AO951" cm="1">
        <f t="array" ref="AO951">PRODUCT(_xlfn.XLOOKUP(AI951:AM951,$B$3:$B$6,$C$3:$C$6))</f>
        <v>0</v>
      </c>
      <c r="AP951">
        <f t="shared" si="43"/>
        <v>0</v>
      </c>
    </row>
    <row r="952" spans="35:42" x14ac:dyDescent="0.2">
      <c r="AI952">
        <v>5</v>
      </c>
      <c r="AJ952">
        <v>4</v>
      </c>
      <c r="AK952">
        <v>5</v>
      </c>
      <c r="AL952">
        <v>3</v>
      </c>
      <c r="AM952">
        <v>4</v>
      </c>
      <c r="AN952">
        <f t="shared" si="42"/>
        <v>1200</v>
      </c>
      <c r="AO952" cm="1">
        <f t="array" ref="AO952">PRODUCT(_xlfn.XLOOKUP(AI952:AM952,$B$3:$B$6,$C$3:$C$6))</f>
        <v>0</v>
      </c>
      <c r="AP952">
        <f t="shared" si="43"/>
        <v>0</v>
      </c>
    </row>
    <row r="953" spans="35:42" x14ac:dyDescent="0.2">
      <c r="AI953">
        <v>5</v>
      </c>
      <c r="AJ953">
        <v>4</v>
      </c>
      <c r="AK953">
        <v>5</v>
      </c>
      <c r="AL953">
        <v>3</v>
      </c>
      <c r="AM953">
        <v>5</v>
      </c>
      <c r="AN953">
        <f t="shared" si="42"/>
        <v>1500</v>
      </c>
      <c r="AO953" cm="1">
        <f t="array" ref="AO953">PRODUCT(_xlfn.XLOOKUP(AI953:AM953,$B$3:$B$6,$C$3:$C$6))</f>
        <v>0</v>
      </c>
      <c r="AP953">
        <f t="shared" si="43"/>
        <v>0</v>
      </c>
    </row>
    <row r="954" spans="35:42" x14ac:dyDescent="0.2">
      <c r="AI954">
        <v>5</v>
      </c>
      <c r="AJ954">
        <v>4</v>
      </c>
      <c r="AK954">
        <v>5</v>
      </c>
      <c r="AL954">
        <v>4</v>
      </c>
      <c r="AM954">
        <v>2</v>
      </c>
      <c r="AN954">
        <f t="shared" si="42"/>
        <v>800</v>
      </c>
      <c r="AO954" cm="1">
        <f t="array" ref="AO954">PRODUCT(_xlfn.XLOOKUP(AI954:AM954,$B$3:$B$6,$C$3:$C$6))</f>
        <v>0</v>
      </c>
      <c r="AP954">
        <f t="shared" si="43"/>
        <v>0</v>
      </c>
    </row>
    <row r="955" spans="35:42" x14ac:dyDescent="0.2">
      <c r="AI955">
        <v>5</v>
      </c>
      <c r="AJ955">
        <v>4</v>
      </c>
      <c r="AK955">
        <v>5</v>
      </c>
      <c r="AL955">
        <v>4</v>
      </c>
      <c r="AM955">
        <v>3</v>
      </c>
      <c r="AN955">
        <f t="shared" si="42"/>
        <v>1200</v>
      </c>
      <c r="AO955" cm="1">
        <f t="array" ref="AO955">PRODUCT(_xlfn.XLOOKUP(AI955:AM955,$B$3:$B$6,$C$3:$C$6))</f>
        <v>0</v>
      </c>
      <c r="AP955">
        <f t="shared" si="43"/>
        <v>0</v>
      </c>
    </row>
    <row r="956" spans="35:42" x14ac:dyDescent="0.2">
      <c r="AI956">
        <v>5</v>
      </c>
      <c r="AJ956">
        <v>4</v>
      </c>
      <c r="AK956">
        <v>5</v>
      </c>
      <c r="AL956">
        <v>4</v>
      </c>
      <c r="AM956">
        <v>4</v>
      </c>
      <c r="AN956">
        <f t="shared" si="42"/>
        <v>1600</v>
      </c>
      <c r="AO956" cm="1">
        <f t="array" ref="AO956">PRODUCT(_xlfn.XLOOKUP(AI956:AM956,$B$3:$B$6,$C$3:$C$6))</f>
        <v>0</v>
      </c>
      <c r="AP956">
        <f t="shared" si="43"/>
        <v>0</v>
      </c>
    </row>
    <row r="957" spans="35:42" x14ac:dyDescent="0.2">
      <c r="AI957">
        <v>5</v>
      </c>
      <c r="AJ957">
        <v>4</v>
      </c>
      <c r="AK957">
        <v>5</v>
      </c>
      <c r="AL957">
        <v>4</v>
      </c>
      <c r="AM957">
        <v>5</v>
      </c>
      <c r="AN957">
        <f t="shared" si="42"/>
        <v>2000</v>
      </c>
      <c r="AO957" cm="1">
        <f t="array" ref="AO957">PRODUCT(_xlfn.XLOOKUP(AI957:AM957,$B$3:$B$6,$C$3:$C$6))</f>
        <v>0</v>
      </c>
      <c r="AP957">
        <f t="shared" si="43"/>
        <v>0</v>
      </c>
    </row>
    <row r="958" spans="35:42" x14ac:dyDescent="0.2">
      <c r="AI958">
        <v>5</v>
      </c>
      <c r="AJ958">
        <v>4</v>
      </c>
      <c r="AK958">
        <v>5</v>
      </c>
      <c r="AL958">
        <v>5</v>
      </c>
      <c r="AM958">
        <v>2</v>
      </c>
      <c r="AN958">
        <f t="shared" si="42"/>
        <v>1000</v>
      </c>
      <c r="AO958" cm="1">
        <f t="array" ref="AO958">PRODUCT(_xlfn.XLOOKUP(AI958:AM958,$B$3:$B$6,$C$3:$C$6))</f>
        <v>0</v>
      </c>
      <c r="AP958">
        <f t="shared" si="43"/>
        <v>0</v>
      </c>
    </row>
    <row r="959" spans="35:42" x14ac:dyDescent="0.2">
      <c r="AI959">
        <v>5</v>
      </c>
      <c r="AJ959">
        <v>4</v>
      </c>
      <c r="AK959">
        <v>5</v>
      </c>
      <c r="AL959">
        <v>5</v>
      </c>
      <c r="AM959">
        <v>3</v>
      </c>
      <c r="AN959">
        <f t="shared" si="42"/>
        <v>1500</v>
      </c>
      <c r="AO959" cm="1">
        <f t="array" ref="AO959">PRODUCT(_xlfn.XLOOKUP(AI959:AM959,$B$3:$B$6,$C$3:$C$6))</f>
        <v>0</v>
      </c>
      <c r="AP959">
        <f t="shared" si="43"/>
        <v>0</v>
      </c>
    </row>
    <row r="960" spans="35:42" x14ac:dyDescent="0.2">
      <c r="AI960">
        <v>5</v>
      </c>
      <c r="AJ960">
        <v>4</v>
      </c>
      <c r="AK960">
        <v>5</v>
      </c>
      <c r="AL960">
        <v>5</v>
      </c>
      <c r="AM960">
        <v>4</v>
      </c>
      <c r="AN960">
        <f t="shared" si="42"/>
        <v>2000</v>
      </c>
      <c r="AO960" cm="1">
        <f t="array" ref="AO960">PRODUCT(_xlfn.XLOOKUP(AI960:AM960,$B$3:$B$6,$C$3:$C$6))</f>
        <v>0</v>
      </c>
      <c r="AP960">
        <f t="shared" si="43"/>
        <v>0</v>
      </c>
    </row>
    <row r="961" spans="35:42" x14ac:dyDescent="0.2">
      <c r="AI961">
        <v>5</v>
      </c>
      <c r="AJ961">
        <v>4</v>
      </c>
      <c r="AK961">
        <v>5</v>
      </c>
      <c r="AL961">
        <v>5</v>
      </c>
      <c r="AM961">
        <v>5</v>
      </c>
      <c r="AN961">
        <f t="shared" si="42"/>
        <v>2500</v>
      </c>
      <c r="AO961" cm="1">
        <f t="array" ref="AO961">PRODUCT(_xlfn.XLOOKUP(AI961:AM961,$B$3:$B$6,$C$3:$C$6))</f>
        <v>0</v>
      </c>
      <c r="AP961">
        <f t="shared" si="43"/>
        <v>0</v>
      </c>
    </row>
    <row r="962" spans="35:42" x14ac:dyDescent="0.2">
      <c r="AI962">
        <v>5</v>
      </c>
      <c r="AJ962">
        <v>5</v>
      </c>
      <c r="AK962">
        <v>2</v>
      </c>
      <c r="AL962">
        <v>2</v>
      </c>
      <c r="AM962">
        <v>2</v>
      </c>
      <c r="AN962">
        <f t="shared" si="42"/>
        <v>200</v>
      </c>
      <c r="AO962" cm="1">
        <f t="array" ref="AO962">PRODUCT(_xlfn.XLOOKUP(AI962:AM962,$B$3:$B$6,$C$3:$C$6))</f>
        <v>6.9983999999999992E-3</v>
      </c>
      <c r="AP962">
        <f t="shared" si="43"/>
        <v>1.3996799999999998</v>
      </c>
    </row>
    <row r="963" spans="35:42" x14ac:dyDescent="0.2">
      <c r="AI963">
        <v>5</v>
      </c>
      <c r="AJ963">
        <v>5</v>
      </c>
      <c r="AK963">
        <v>2</v>
      </c>
      <c r="AL963">
        <v>2</v>
      </c>
      <c r="AM963">
        <v>3</v>
      </c>
      <c r="AN963">
        <f t="shared" ref="AN963:AN1025" si="44">PRODUCT(AI963:AM963)</f>
        <v>300</v>
      </c>
      <c r="AO963" cm="1">
        <f t="array" ref="AO963">PRODUCT(_xlfn.XLOOKUP(AI963:AM963,$B$3:$B$6,$C$3:$C$6))</f>
        <v>2.5660799999999997E-3</v>
      </c>
      <c r="AP963">
        <f t="shared" ref="AP963:AP1025" si="45">AN963*AO963</f>
        <v>0.76982399999999995</v>
      </c>
    </row>
    <row r="964" spans="35:42" x14ac:dyDescent="0.2">
      <c r="AI964">
        <v>5</v>
      </c>
      <c r="AJ964">
        <v>5</v>
      </c>
      <c r="AK964">
        <v>2</v>
      </c>
      <c r="AL964">
        <v>2</v>
      </c>
      <c r="AM964">
        <v>4</v>
      </c>
      <c r="AN964">
        <f t="shared" si="44"/>
        <v>400</v>
      </c>
      <c r="AO964" cm="1">
        <f t="array" ref="AO964">PRODUCT(_xlfn.XLOOKUP(AI964:AM964,$B$3:$B$6,$C$3:$C$6))</f>
        <v>0</v>
      </c>
      <c r="AP964">
        <f t="shared" si="45"/>
        <v>0</v>
      </c>
    </row>
    <row r="965" spans="35:42" x14ac:dyDescent="0.2">
      <c r="AI965">
        <v>5</v>
      </c>
      <c r="AJ965">
        <v>5</v>
      </c>
      <c r="AK965">
        <v>2</v>
      </c>
      <c r="AL965">
        <v>2</v>
      </c>
      <c r="AM965">
        <v>5</v>
      </c>
      <c r="AN965">
        <f t="shared" si="44"/>
        <v>500</v>
      </c>
      <c r="AO965" cm="1">
        <f t="array" ref="AO965">PRODUCT(_xlfn.XLOOKUP(AI965:AM965,$B$3:$B$6,$C$3:$C$6))</f>
        <v>2.0995199999999997E-3</v>
      </c>
      <c r="AP965">
        <f t="shared" si="45"/>
        <v>1.0497599999999998</v>
      </c>
    </row>
    <row r="966" spans="35:42" x14ac:dyDescent="0.2">
      <c r="AI966">
        <v>5</v>
      </c>
      <c r="AJ966">
        <v>5</v>
      </c>
      <c r="AK966">
        <v>2</v>
      </c>
      <c r="AL966">
        <v>3</v>
      </c>
      <c r="AM966">
        <v>2</v>
      </c>
      <c r="AN966">
        <f t="shared" si="44"/>
        <v>300</v>
      </c>
      <c r="AO966" cm="1">
        <f t="array" ref="AO966">PRODUCT(_xlfn.XLOOKUP(AI966:AM966,$B$3:$B$6,$C$3:$C$6))</f>
        <v>2.5660799999999997E-3</v>
      </c>
      <c r="AP966">
        <f t="shared" si="45"/>
        <v>0.76982399999999995</v>
      </c>
    </row>
    <row r="967" spans="35:42" x14ac:dyDescent="0.2">
      <c r="AI967">
        <v>5</v>
      </c>
      <c r="AJ967">
        <v>5</v>
      </c>
      <c r="AK967">
        <v>2</v>
      </c>
      <c r="AL967">
        <v>3</v>
      </c>
      <c r="AM967">
        <v>3</v>
      </c>
      <c r="AN967">
        <f t="shared" si="44"/>
        <v>450</v>
      </c>
      <c r="AO967" cm="1">
        <f t="array" ref="AO967">PRODUCT(_xlfn.XLOOKUP(AI967:AM967,$B$3:$B$6,$C$3:$C$6))</f>
        <v>9.4089599999999998E-4</v>
      </c>
      <c r="AP967">
        <f t="shared" si="45"/>
        <v>0.42340319999999998</v>
      </c>
    </row>
    <row r="968" spans="35:42" x14ac:dyDescent="0.2">
      <c r="AI968">
        <v>5</v>
      </c>
      <c r="AJ968">
        <v>5</v>
      </c>
      <c r="AK968">
        <v>2</v>
      </c>
      <c r="AL968">
        <v>3</v>
      </c>
      <c r="AM968">
        <v>4</v>
      </c>
      <c r="AN968">
        <f t="shared" si="44"/>
        <v>600</v>
      </c>
      <c r="AO968" cm="1">
        <f t="array" ref="AO968">PRODUCT(_xlfn.XLOOKUP(AI968:AM968,$B$3:$B$6,$C$3:$C$6))</f>
        <v>0</v>
      </c>
      <c r="AP968">
        <f t="shared" si="45"/>
        <v>0</v>
      </c>
    </row>
    <row r="969" spans="35:42" x14ac:dyDescent="0.2">
      <c r="AI969">
        <v>5</v>
      </c>
      <c r="AJ969">
        <v>5</v>
      </c>
      <c r="AK969">
        <v>2</v>
      </c>
      <c r="AL969">
        <v>3</v>
      </c>
      <c r="AM969">
        <v>5</v>
      </c>
      <c r="AN969">
        <f t="shared" si="44"/>
        <v>750</v>
      </c>
      <c r="AO969" cm="1">
        <f t="array" ref="AO969">PRODUCT(_xlfn.XLOOKUP(AI969:AM969,$B$3:$B$6,$C$3:$C$6))</f>
        <v>7.698239999999999E-4</v>
      </c>
      <c r="AP969">
        <f t="shared" si="45"/>
        <v>0.57736799999999988</v>
      </c>
    </row>
    <row r="970" spans="35:42" x14ac:dyDescent="0.2">
      <c r="AI970">
        <v>5</v>
      </c>
      <c r="AJ970">
        <v>5</v>
      </c>
      <c r="AK970">
        <v>2</v>
      </c>
      <c r="AL970">
        <v>4</v>
      </c>
      <c r="AM970">
        <v>2</v>
      </c>
      <c r="AN970">
        <f t="shared" si="44"/>
        <v>400</v>
      </c>
      <c r="AO970" cm="1">
        <f t="array" ref="AO970">PRODUCT(_xlfn.XLOOKUP(AI970:AM970,$B$3:$B$6,$C$3:$C$6))</f>
        <v>0</v>
      </c>
      <c r="AP970">
        <f t="shared" si="45"/>
        <v>0</v>
      </c>
    </row>
    <row r="971" spans="35:42" x14ac:dyDescent="0.2">
      <c r="AI971">
        <v>5</v>
      </c>
      <c r="AJ971">
        <v>5</v>
      </c>
      <c r="AK971">
        <v>2</v>
      </c>
      <c r="AL971">
        <v>4</v>
      </c>
      <c r="AM971">
        <v>3</v>
      </c>
      <c r="AN971">
        <f t="shared" si="44"/>
        <v>600</v>
      </c>
      <c r="AO971" cm="1">
        <f t="array" ref="AO971">PRODUCT(_xlfn.XLOOKUP(AI971:AM971,$B$3:$B$6,$C$3:$C$6))</f>
        <v>0</v>
      </c>
      <c r="AP971">
        <f t="shared" si="45"/>
        <v>0</v>
      </c>
    </row>
    <row r="972" spans="35:42" x14ac:dyDescent="0.2">
      <c r="AI972">
        <v>5</v>
      </c>
      <c r="AJ972">
        <v>5</v>
      </c>
      <c r="AK972">
        <v>2</v>
      </c>
      <c r="AL972">
        <v>4</v>
      </c>
      <c r="AM972">
        <v>4</v>
      </c>
      <c r="AN972">
        <f t="shared" si="44"/>
        <v>800</v>
      </c>
      <c r="AO972" cm="1">
        <f t="array" ref="AO972">PRODUCT(_xlfn.XLOOKUP(AI972:AM972,$B$3:$B$6,$C$3:$C$6))</f>
        <v>0</v>
      </c>
      <c r="AP972">
        <f t="shared" si="45"/>
        <v>0</v>
      </c>
    </row>
    <row r="973" spans="35:42" x14ac:dyDescent="0.2">
      <c r="AI973">
        <v>5</v>
      </c>
      <c r="AJ973">
        <v>5</v>
      </c>
      <c r="AK973">
        <v>2</v>
      </c>
      <c r="AL973">
        <v>4</v>
      </c>
      <c r="AM973">
        <v>5</v>
      </c>
      <c r="AN973">
        <f t="shared" si="44"/>
        <v>1000</v>
      </c>
      <c r="AO973" cm="1">
        <f t="array" ref="AO973">PRODUCT(_xlfn.XLOOKUP(AI973:AM973,$B$3:$B$6,$C$3:$C$6))</f>
        <v>0</v>
      </c>
      <c r="AP973">
        <f t="shared" si="45"/>
        <v>0</v>
      </c>
    </row>
    <row r="974" spans="35:42" x14ac:dyDescent="0.2">
      <c r="AI974">
        <v>5</v>
      </c>
      <c r="AJ974">
        <v>5</v>
      </c>
      <c r="AK974">
        <v>2</v>
      </c>
      <c r="AL974">
        <v>5</v>
      </c>
      <c r="AM974">
        <v>2</v>
      </c>
      <c r="AN974">
        <f t="shared" si="44"/>
        <v>500</v>
      </c>
      <c r="AO974" cm="1">
        <f t="array" ref="AO974">PRODUCT(_xlfn.XLOOKUP(AI974:AM974,$B$3:$B$6,$C$3:$C$6))</f>
        <v>2.0995199999999997E-3</v>
      </c>
      <c r="AP974">
        <f t="shared" si="45"/>
        <v>1.0497599999999998</v>
      </c>
    </row>
    <row r="975" spans="35:42" x14ac:dyDescent="0.2">
      <c r="AI975">
        <v>5</v>
      </c>
      <c r="AJ975">
        <v>5</v>
      </c>
      <c r="AK975">
        <v>2</v>
      </c>
      <c r="AL975">
        <v>5</v>
      </c>
      <c r="AM975">
        <v>3</v>
      </c>
      <c r="AN975">
        <f t="shared" si="44"/>
        <v>750</v>
      </c>
      <c r="AO975" cm="1">
        <f t="array" ref="AO975">PRODUCT(_xlfn.XLOOKUP(AI975:AM975,$B$3:$B$6,$C$3:$C$6))</f>
        <v>7.698239999999999E-4</v>
      </c>
      <c r="AP975">
        <f t="shared" si="45"/>
        <v>0.57736799999999988</v>
      </c>
    </row>
    <row r="976" spans="35:42" x14ac:dyDescent="0.2">
      <c r="AI976">
        <v>5</v>
      </c>
      <c r="AJ976">
        <v>5</v>
      </c>
      <c r="AK976">
        <v>2</v>
      </c>
      <c r="AL976">
        <v>5</v>
      </c>
      <c r="AM976">
        <v>4</v>
      </c>
      <c r="AN976">
        <f t="shared" si="44"/>
        <v>1000</v>
      </c>
      <c r="AO976" cm="1">
        <f t="array" ref="AO976">PRODUCT(_xlfn.XLOOKUP(AI976:AM976,$B$3:$B$6,$C$3:$C$6))</f>
        <v>0</v>
      </c>
      <c r="AP976">
        <f t="shared" si="45"/>
        <v>0</v>
      </c>
    </row>
    <row r="977" spans="35:42" x14ac:dyDescent="0.2">
      <c r="AI977">
        <v>5</v>
      </c>
      <c r="AJ977">
        <v>5</v>
      </c>
      <c r="AK977">
        <v>2</v>
      </c>
      <c r="AL977">
        <v>5</v>
      </c>
      <c r="AM977">
        <v>5</v>
      </c>
      <c r="AN977">
        <f t="shared" si="44"/>
        <v>1250</v>
      </c>
      <c r="AO977" cm="1">
        <f t="array" ref="AO977">PRODUCT(_xlfn.XLOOKUP(AI977:AM977,$B$3:$B$6,$C$3:$C$6))</f>
        <v>6.2985599999999993E-4</v>
      </c>
      <c r="AP977">
        <f t="shared" si="45"/>
        <v>0.78731999999999991</v>
      </c>
    </row>
    <row r="978" spans="35:42" x14ac:dyDescent="0.2">
      <c r="AI978">
        <v>5</v>
      </c>
      <c r="AJ978">
        <v>5</v>
      </c>
      <c r="AK978">
        <v>3</v>
      </c>
      <c r="AL978">
        <v>2</v>
      </c>
      <c r="AM978">
        <v>2</v>
      </c>
      <c r="AN978">
        <f t="shared" si="44"/>
        <v>300</v>
      </c>
      <c r="AO978" cm="1">
        <f t="array" ref="AO978">PRODUCT(_xlfn.XLOOKUP(AI978:AM978,$B$3:$B$6,$C$3:$C$6))</f>
        <v>2.5660799999999997E-3</v>
      </c>
      <c r="AP978">
        <f t="shared" si="45"/>
        <v>0.76982399999999995</v>
      </c>
    </row>
    <row r="979" spans="35:42" x14ac:dyDescent="0.2">
      <c r="AI979">
        <v>5</v>
      </c>
      <c r="AJ979">
        <v>5</v>
      </c>
      <c r="AK979">
        <v>3</v>
      </c>
      <c r="AL979">
        <v>2</v>
      </c>
      <c r="AM979">
        <v>3</v>
      </c>
      <c r="AN979">
        <f t="shared" si="44"/>
        <v>450</v>
      </c>
      <c r="AO979" cm="1">
        <f t="array" ref="AO979">PRODUCT(_xlfn.XLOOKUP(AI979:AM979,$B$3:$B$6,$C$3:$C$6))</f>
        <v>9.4089599999999998E-4</v>
      </c>
      <c r="AP979">
        <f t="shared" si="45"/>
        <v>0.42340319999999998</v>
      </c>
    </row>
    <row r="980" spans="35:42" x14ac:dyDescent="0.2">
      <c r="AI980">
        <v>5</v>
      </c>
      <c r="AJ980">
        <v>5</v>
      </c>
      <c r="AK980">
        <v>3</v>
      </c>
      <c r="AL980">
        <v>2</v>
      </c>
      <c r="AM980">
        <v>4</v>
      </c>
      <c r="AN980">
        <f t="shared" si="44"/>
        <v>600</v>
      </c>
      <c r="AO980" cm="1">
        <f t="array" ref="AO980">PRODUCT(_xlfn.XLOOKUP(AI980:AM980,$B$3:$B$6,$C$3:$C$6))</f>
        <v>0</v>
      </c>
      <c r="AP980">
        <f t="shared" si="45"/>
        <v>0</v>
      </c>
    </row>
    <row r="981" spans="35:42" x14ac:dyDescent="0.2">
      <c r="AI981">
        <v>5</v>
      </c>
      <c r="AJ981">
        <v>5</v>
      </c>
      <c r="AK981">
        <v>3</v>
      </c>
      <c r="AL981">
        <v>2</v>
      </c>
      <c r="AM981">
        <v>5</v>
      </c>
      <c r="AN981">
        <f t="shared" si="44"/>
        <v>750</v>
      </c>
      <c r="AO981" cm="1">
        <f t="array" ref="AO981">PRODUCT(_xlfn.XLOOKUP(AI981:AM981,$B$3:$B$6,$C$3:$C$6))</f>
        <v>7.698239999999999E-4</v>
      </c>
      <c r="AP981">
        <f t="shared" si="45"/>
        <v>0.57736799999999988</v>
      </c>
    </row>
    <row r="982" spans="35:42" x14ac:dyDescent="0.2">
      <c r="AI982">
        <v>5</v>
      </c>
      <c r="AJ982">
        <v>5</v>
      </c>
      <c r="AK982">
        <v>3</v>
      </c>
      <c r="AL982">
        <v>3</v>
      </c>
      <c r="AM982">
        <v>2</v>
      </c>
      <c r="AN982">
        <f t="shared" si="44"/>
        <v>450</v>
      </c>
      <c r="AO982" cm="1">
        <f t="array" ref="AO982">PRODUCT(_xlfn.XLOOKUP(AI982:AM982,$B$3:$B$6,$C$3:$C$6))</f>
        <v>9.4089599999999988E-4</v>
      </c>
      <c r="AP982">
        <f t="shared" si="45"/>
        <v>0.42340319999999992</v>
      </c>
    </row>
    <row r="983" spans="35:42" x14ac:dyDescent="0.2">
      <c r="AI983">
        <v>5</v>
      </c>
      <c r="AJ983">
        <v>5</v>
      </c>
      <c r="AK983">
        <v>3</v>
      </c>
      <c r="AL983">
        <v>3</v>
      </c>
      <c r="AM983">
        <v>3</v>
      </c>
      <c r="AN983">
        <f t="shared" si="44"/>
        <v>675</v>
      </c>
      <c r="AO983" cm="1">
        <f t="array" ref="AO983">PRODUCT(_xlfn.XLOOKUP(AI983:AM983,$B$3:$B$6,$C$3:$C$6))</f>
        <v>3.4499519999999997E-4</v>
      </c>
      <c r="AP983">
        <f t="shared" si="45"/>
        <v>0.23287175999999998</v>
      </c>
    </row>
    <row r="984" spans="35:42" x14ac:dyDescent="0.2">
      <c r="AI984">
        <v>5</v>
      </c>
      <c r="AJ984">
        <v>5</v>
      </c>
      <c r="AK984">
        <v>3</v>
      </c>
      <c r="AL984">
        <v>3</v>
      </c>
      <c r="AM984">
        <v>4</v>
      </c>
      <c r="AN984">
        <f t="shared" si="44"/>
        <v>900</v>
      </c>
      <c r="AO984" cm="1">
        <f t="array" ref="AO984">PRODUCT(_xlfn.XLOOKUP(AI984:AM984,$B$3:$B$6,$C$3:$C$6))</f>
        <v>0</v>
      </c>
      <c r="AP984">
        <f t="shared" si="45"/>
        <v>0</v>
      </c>
    </row>
    <row r="985" spans="35:42" x14ac:dyDescent="0.2">
      <c r="AI985">
        <v>5</v>
      </c>
      <c r="AJ985">
        <v>5</v>
      </c>
      <c r="AK985">
        <v>3</v>
      </c>
      <c r="AL985">
        <v>3</v>
      </c>
      <c r="AM985">
        <v>5</v>
      </c>
      <c r="AN985">
        <f t="shared" si="44"/>
        <v>1125</v>
      </c>
      <c r="AO985" cm="1">
        <f t="array" ref="AO985">PRODUCT(_xlfn.XLOOKUP(AI985:AM985,$B$3:$B$6,$C$3:$C$6))</f>
        <v>2.8226879999999996E-4</v>
      </c>
      <c r="AP985">
        <f t="shared" si="45"/>
        <v>0.31755239999999996</v>
      </c>
    </row>
    <row r="986" spans="35:42" x14ac:dyDescent="0.2">
      <c r="AI986">
        <v>5</v>
      </c>
      <c r="AJ986">
        <v>5</v>
      </c>
      <c r="AK986">
        <v>3</v>
      </c>
      <c r="AL986">
        <v>4</v>
      </c>
      <c r="AM986">
        <v>2</v>
      </c>
      <c r="AN986">
        <f t="shared" si="44"/>
        <v>600</v>
      </c>
      <c r="AO986" cm="1">
        <f t="array" ref="AO986">PRODUCT(_xlfn.XLOOKUP(AI986:AM986,$B$3:$B$6,$C$3:$C$6))</f>
        <v>0</v>
      </c>
      <c r="AP986">
        <f t="shared" si="45"/>
        <v>0</v>
      </c>
    </row>
    <row r="987" spans="35:42" x14ac:dyDescent="0.2">
      <c r="AI987">
        <v>5</v>
      </c>
      <c r="AJ987">
        <v>5</v>
      </c>
      <c r="AK987">
        <v>3</v>
      </c>
      <c r="AL987">
        <v>4</v>
      </c>
      <c r="AM987">
        <v>3</v>
      </c>
      <c r="AN987">
        <f t="shared" si="44"/>
        <v>900</v>
      </c>
      <c r="AO987" cm="1">
        <f t="array" ref="AO987">PRODUCT(_xlfn.XLOOKUP(AI987:AM987,$B$3:$B$6,$C$3:$C$6))</f>
        <v>0</v>
      </c>
      <c r="AP987">
        <f t="shared" si="45"/>
        <v>0</v>
      </c>
    </row>
    <row r="988" spans="35:42" x14ac:dyDescent="0.2">
      <c r="AI988">
        <v>5</v>
      </c>
      <c r="AJ988">
        <v>5</v>
      </c>
      <c r="AK988">
        <v>3</v>
      </c>
      <c r="AL988">
        <v>4</v>
      </c>
      <c r="AM988">
        <v>4</v>
      </c>
      <c r="AN988">
        <f t="shared" si="44"/>
        <v>1200</v>
      </c>
      <c r="AO988" cm="1">
        <f t="array" ref="AO988">PRODUCT(_xlfn.XLOOKUP(AI988:AM988,$B$3:$B$6,$C$3:$C$6))</f>
        <v>0</v>
      </c>
      <c r="AP988">
        <f t="shared" si="45"/>
        <v>0</v>
      </c>
    </row>
    <row r="989" spans="35:42" x14ac:dyDescent="0.2">
      <c r="AI989">
        <v>5</v>
      </c>
      <c r="AJ989">
        <v>5</v>
      </c>
      <c r="AK989">
        <v>3</v>
      </c>
      <c r="AL989">
        <v>4</v>
      </c>
      <c r="AM989">
        <v>5</v>
      </c>
      <c r="AN989">
        <f t="shared" si="44"/>
        <v>1500</v>
      </c>
      <c r="AO989" cm="1">
        <f t="array" ref="AO989">PRODUCT(_xlfn.XLOOKUP(AI989:AM989,$B$3:$B$6,$C$3:$C$6))</f>
        <v>0</v>
      </c>
      <c r="AP989">
        <f t="shared" si="45"/>
        <v>0</v>
      </c>
    </row>
    <row r="990" spans="35:42" x14ac:dyDescent="0.2">
      <c r="AI990">
        <v>5</v>
      </c>
      <c r="AJ990">
        <v>5</v>
      </c>
      <c r="AK990">
        <v>3</v>
      </c>
      <c r="AL990">
        <v>5</v>
      </c>
      <c r="AM990">
        <v>2</v>
      </c>
      <c r="AN990">
        <f t="shared" si="44"/>
        <v>750</v>
      </c>
      <c r="AO990" cm="1">
        <f t="array" ref="AO990">PRODUCT(_xlfn.XLOOKUP(AI990:AM990,$B$3:$B$6,$C$3:$C$6))</f>
        <v>7.698239999999999E-4</v>
      </c>
      <c r="AP990">
        <f t="shared" si="45"/>
        <v>0.57736799999999988</v>
      </c>
    </row>
    <row r="991" spans="35:42" x14ac:dyDescent="0.2">
      <c r="AI991">
        <v>5</v>
      </c>
      <c r="AJ991">
        <v>5</v>
      </c>
      <c r="AK991">
        <v>3</v>
      </c>
      <c r="AL991">
        <v>5</v>
      </c>
      <c r="AM991">
        <v>3</v>
      </c>
      <c r="AN991">
        <f t="shared" si="44"/>
        <v>1125</v>
      </c>
      <c r="AO991" cm="1">
        <f t="array" ref="AO991">PRODUCT(_xlfn.XLOOKUP(AI991:AM991,$B$3:$B$6,$C$3:$C$6))</f>
        <v>2.8226879999999996E-4</v>
      </c>
      <c r="AP991">
        <f t="shared" si="45"/>
        <v>0.31755239999999996</v>
      </c>
    </row>
    <row r="992" spans="35:42" x14ac:dyDescent="0.2">
      <c r="AI992">
        <v>5</v>
      </c>
      <c r="AJ992">
        <v>5</v>
      </c>
      <c r="AK992">
        <v>3</v>
      </c>
      <c r="AL992">
        <v>5</v>
      </c>
      <c r="AM992">
        <v>4</v>
      </c>
      <c r="AN992">
        <f t="shared" si="44"/>
        <v>1500</v>
      </c>
      <c r="AO992" cm="1">
        <f t="array" ref="AO992">PRODUCT(_xlfn.XLOOKUP(AI992:AM992,$B$3:$B$6,$C$3:$C$6))</f>
        <v>0</v>
      </c>
      <c r="AP992">
        <f t="shared" si="45"/>
        <v>0</v>
      </c>
    </row>
    <row r="993" spans="35:42" x14ac:dyDescent="0.2">
      <c r="AI993">
        <v>5</v>
      </c>
      <c r="AJ993">
        <v>5</v>
      </c>
      <c r="AK993">
        <v>3</v>
      </c>
      <c r="AL993">
        <v>5</v>
      </c>
      <c r="AM993">
        <v>5</v>
      </c>
      <c r="AN993">
        <f t="shared" si="44"/>
        <v>1875</v>
      </c>
      <c r="AO993" cm="1">
        <f t="array" ref="AO993">PRODUCT(_xlfn.XLOOKUP(AI993:AM993,$B$3:$B$6,$C$3:$C$6))</f>
        <v>2.3094719999999997E-4</v>
      </c>
      <c r="AP993">
        <f t="shared" si="45"/>
        <v>0.43302599999999997</v>
      </c>
    </row>
    <row r="994" spans="35:42" x14ac:dyDescent="0.2">
      <c r="AI994">
        <v>5</v>
      </c>
      <c r="AJ994">
        <v>5</v>
      </c>
      <c r="AK994">
        <v>4</v>
      </c>
      <c r="AL994">
        <v>2</v>
      </c>
      <c r="AM994">
        <v>2</v>
      </c>
      <c r="AN994">
        <f t="shared" si="44"/>
        <v>400</v>
      </c>
      <c r="AO994" cm="1">
        <f t="array" ref="AO994">PRODUCT(_xlfn.XLOOKUP(AI994:AM994,$B$3:$B$6,$C$3:$C$6))</f>
        <v>0</v>
      </c>
      <c r="AP994">
        <f t="shared" si="45"/>
        <v>0</v>
      </c>
    </row>
    <row r="995" spans="35:42" x14ac:dyDescent="0.2">
      <c r="AI995">
        <v>5</v>
      </c>
      <c r="AJ995">
        <v>5</v>
      </c>
      <c r="AK995">
        <v>4</v>
      </c>
      <c r="AL995">
        <v>2</v>
      </c>
      <c r="AM995">
        <v>3</v>
      </c>
      <c r="AN995">
        <f t="shared" si="44"/>
        <v>600</v>
      </c>
      <c r="AO995" cm="1">
        <f t="array" ref="AO995">PRODUCT(_xlfn.XLOOKUP(AI995:AM995,$B$3:$B$6,$C$3:$C$6))</f>
        <v>0</v>
      </c>
      <c r="AP995">
        <f t="shared" si="45"/>
        <v>0</v>
      </c>
    </row>
    <row r="996" spans="35:42" x14ac:dyDescent="0.2">
      <c r="AI996">
        <v>5</v>
      </c>
      <c r="AJ996">
        <v>5</v>
      </c>
      <c r="AK996">
        <v>4</v>
      </c>
      <c r="AL996">
        <v>2</v>
      </c>
      <c r="AM996">
        <v>4</v>
      </c>
      <c r="AN996">
        <f t="shared" si="44"/>
        <v>800</v>
      </c>
      <c r="AO996" cm="1">
        <f t="array" ref="AO996">PRODUCT(_xlfn.XLOOKUP(AI996:AM996,$B$3:$B$6,$C$3:$C$6))</f>
        <v>0</v>
      </c>
      <c r="AP996">
        <f t="shared" si="45"/>
        <v>0</v>
      </c>
    </row>
    <row r="997" spans="35:42" x14ac:dyDescent="0.2">
      <c r="AI997">
        <v>5</v>
      </c>
      <c r="AJ997">
        <v>5</v>
      </c>
      <c r="AK997">
        <v>4</v>
      </c>
      <c r="AL997">
        <v>2</v>
      </c>
      <c r="AM997">
        <v>5</v>
      </c>
      <c r="AN997">
        <f t="shared" si="44"/>
        <v>1000</v>
      </c>
      <c r="AO997" cm="1">
        <f t="array" ref="AO997">PRODUCT(_xlfn.XLOOKUP(AI997:AM997,$B$3:$B$6,$C$3:$C$6))</f>
        <v>0</v>
      </c>
      <c r="AP997">
        <f t="shared" si="45"/>
        <v>0</v>
      </c>
    </row>
    <row r="998" spans="35:42" x14ac:dyDescent="0.2">
      <c r="AI998">
        <v>5</v>
      </c>
      <c r="AJ998">
        <v>5</v>
      </c>
      <c r="AK998">
        <v>4</v>
      </c>
      <c r="AL998">
        <v>3</v>
      </c>
      <c r="AM998">
        <v>2</v>
      </c>
      <c r="AN998">
        <f t="shared" si="44"/>
        <v>600</v>
      </c>
      <c r="AO998" cm="1">
        <f t="array" ref="AO998">PRODUCT(_xlfn.XLOOKUP(AI998:AM998,$B$3:$B$6,$C$3:$C$6))</f>
        <v>0</v>
      </c>
      <c r="AP998">
        <f t="shared" si="45"/>
        <v>0</v>
      </c>
    </row>
    <row r="999" spans="35:42" x14ac:dyDescent="0.2">
      <c r="AI999">
        <v>5</v>
      </c>
      <c r="AJ999">
        <v>5</v>
      </c>
      <c r="AK999">
        <v>4</v>
      </c>
      <c r="AL999">
        <v>3</v>
      </c>
      <c r="AM999">
        <v>3</v>
      </c>
      <c r="AN999">
        <f t="shared" si="44"/>
        <v>900</v>
      </c>
      <c r="AO999" cm="1">
        <f t="array" ref="AO999">PRODUCT(_xlfn.XLOOKUP(AI999:AM999,$B$3:$B$6,$C$3:$C$6))</f>
        <v>0</v>
      </c>
      <c r="AP999">
        <f t="shared" si="45"/>
        <v>0</v>
      </c>
    </row>
    <row r="1000" spans="35:42" x14ac:dyDescent="0.2">
      <c r="AI1000">
        <v>5</v>
      </c>
      <c r="AJ1000">
        <v>5</v>
      </c>
      <c r="AK1000">
        <v>4</v>
      </c>
      <c r="AL1000">
        <v>3</v>
      </c>
      <c r="AM1000">
        <v>4</v>
      </c>
      <c r="AN1000">
        <f t="shared" si="44"/>
        <v>1200</v>
      </c>
      <c r="AO1000" cm="1">
        <f t="array" ref="AO1000">PRODUCT(_xlfn.XLOOKUP(AI1000:AM1000,$B$3:$B$6,$C$3:$C$6))</f>
        <v>0</v>
      </c>
      <c r="AP1000">
        <f t="shared" si="45"/>
        <v>0</v>
      </c>
    </row>
    <row r="1001" spans="35:42" x14ac:dyDescent="0.2">
      <c r="AI1001">
        <v>5</v>
      </c>
      <c r="AJ1001">
        <v>5</v>
      </c>
      <c r="AK1001">
        <v>4</v>
      </c>
      <c r="AL1001">
        <v>3</v>
      </c>
      <c r="AM1001">
        <v>5</v>
      </c>
      <c r="AN1001">
        <f t="shared" si="44"/>
        <v>1500</v>
      </c>
      <c r="AO1001" cm="1">
        <f t="array" ref="AO1001">PRODUCT(_xlfn.XLOOKUP(AI1001:AM1001,$B$3:$B$6,$C$3:$C$6))</f>
        <v>0</v>
      </c>
      <c r="AP1001">
        <f t="shared" si="45"/>
        <v>0</v>
      </c>
    </row>
    <row r="1002" spans="35:42" x14ac:dyDescent="0.2">
      <c r="AI1002">
        <v>5</v>
      </c>
      <c r="AJ1002">
        <v>5</v>
      </c>
      <c r="AK1002">
        <v>4</v>
      </c>
      <c r="AL1002">
        <v>4</v>
      </c>
      <c r="AM1002">
        <v>2</v>
      </c>
      <c r="AN1002">
        <f t="shared" si="44"/>
        <v>800</v>
      </c>
      <c r="AO1002" cm="1">
        <f t="array" ref="AO1002">PRODUCT(_xlfn.XLOOKUP(AI1002:AM1002,$B$3:$B$6,$C$3:$C$6))</f>
        <v>0</v>
      </c>
      <c r="AP1002">
        <f t="shared" si="45"/>
        <v>0</v>
      </c>
    </row>
    <row r="1003" spans="35:42" x14ac:dyDescent="0.2">
      <c r="AI1003">
        <v>5</v>
      </c>
      <c r="AJ1003">
        <v>5</v>
      </c>
      <c r="AK1003">
        <v>4</v>
      </c>
      <c r="AL1003">
        <v>4</v>
      </c>
      <c r="AM1003">
        <v>3</v>
      </c>
      <c r="AN1003">
        <f t="shared" si="44"/>
        <v>1200</v>
      </c>
      <c r="AO1003" cm="1">
        <f t="array" ref="AO1003">PRODUCT(_xlfn.XLOOKUP(AI1003:AM1003,$B$3:$B$6,$C$3:$C$6))</f>
        <v>0</v>
      </c>
      <c r="AP1003">
        <f t="shared" si="45"/>
        <v>0</v>
      </c>
    </row>
    <row r="1004" spans="35:42" x14ac:dyDescent="0.2">
      <c r="AI1004">
        <v>5</v>
      </c>
      <c r="AJ1004">
        <v>5</v>
      </c>
      <c r="AK1004">
        <v>4</v>
      </c>
      <c r="AL1004">
        <v>4</v>
      </c>
      <c r="AM1004">
        <v>4</v>
      </c>
      <c r="AN1004">
        <f t="shared" si="44"/>
        <v>1600</v>
      </c>
      <c r="AO1004" cm="1">
        <f t="array" ref="AO1004">PRODUCT(_xlfn.XLOOKUP(AI1004:AM1004,$B$3:$B$6,$C$3:$C$6))</f>
        <v>0</v>
      </c>
      <c r="AP1004">
        <f t="shared" si="45"/>
        <v>0</v>
      </c>
    </row>
    <row r="1005" spans="35:42" x14ac:dyDescent="0.2">
      <c r="AI1005">
        <v>5</v>
      </c>
      <c r="AJ1005">
        <v>5</v>
      </c>
      <c r="AK1005">
        <v>4</v>
      </c>
      <c r="AL1005">
        <v>4</v>
      </c>
      <c r="AM1005">
        <v>5</v>
      </c>
      <c r="AN1005">
        <f t="shared" si="44"/>
        <v>2000</v>
      </c>
      <c r="AO1005" cm="1">
        <f t="array" ref="AO1005">PRODUCT(_xlfn.XLOOKUP(AI1005:AM1005,$B$3:$B$6,$C$3:$C$6))</f>
        <v>0</v>
      </c>
      <c r="AP1005">
        <f t="shared" si="45"/>
        <v>0</v>
      </c>
    </row>
    <row r="1006" spans="35:42" x14ac:dyDescent="0.2">
      <c r="AI1006">
        <v>5</v>
      </c>
      <c r="AJ1006">
        <v>5</v>
      </c>
      <c r="AK1006">
        <v>4</v>
      </c>
      <c r="AL1006">
        <v>5</v>
      </c>
      <c r="AM1006">
        <v>2</v>
      </c>
      <c r="AN1006">
        <f t="shared" si="44"/>
        <v>1000</v>
      </c>
      <c r="AO1006" cm="1">
        <f t="array" ref="AO1006">PRODUCT(_xlfn.XLOOKUP(AI1006:AM1006,$B$3:$B$6,$C$3:$C$6))</f>
        <v>0</v>
      </c>
      <c r="AP1006">
        <f t="shared" si="45"/>
        <v>0</v>
      </c>
    </row>
    <row r="1007" spans="35:42" x14ac:dyDescent="0.2">
      <c r="AI1007">
        <v>5</v>
      </c>
      <c r="AJ1007">
        <v>5</v>
      </c>
      <c r="AK1007">
        <v>4</v>
      </c>
      <c r="AL1007">
        <v>5</v>
      </c>
      <c r="AM1007">
        <v>3</v>
      </c>
      <c r="AN1007">
        <f t="shared" si="44"/>
        <v>1500</v>
      </c>
      <c r="AO1007" cm="1">
        <f t="array" ref="AO1007">PRODUCT(_xlfn.XLOOKUP(AI1007:AM1007,$B$3:$B$6,$C$3:$C$6))</f>
        <v>0</v>
      </c>
      <c r="AP1007">
        <f t="shared" si="45"/>
        <v>0</v>
      </c>
    </row>
    <row r="1008" spans="35:42" x14ac:dyDescent="0.2">
      <c r="AI1008">
        <v>5</v>
      </c>
      <c r="AJ1008">
        <v>5</v>
      </c>
      <c r="AK1008">
        <v>4</v>
      </c>
      <c r="AL1008">
        <v>5</v>
      </c>
      <c r="AM1008">
        <v>4</v>
      </c>
      <c r="AN1008">
        <f t="shared" si="44"/>
        <v>2000</v>
      </c>
      <c r="AO1008" cm="1">
        <f t="array" ref="AO1008">PRODUCT(_xlfn.XLOOKUP(AI1008:AM1008,$B$3:$B$6,$C$3:$C$6))</f>
        <v>0</v>
      </c>
      <c r="AP1008">
        <f t="shared" si="45"/>
        <v>0</v>
      </c>
    </row>
    <row r="1009" spans="35:42" x14ac:dyDescent="0.2">
      <c r="AI1009">
        <v>5</v>
      </c>
      <c r="AJ1009">
        <v>5</v>
      </c>
      <c r="AK1009">
        <v>4</v>
      </c>
      <c r="AL1009">
        <v>5</v>
      </c>
      <c r="AM1009">
        <v>5</v>
      </c>
      <c r="AN1009">
        <f t="shared" si="44"/>
        <v>2500</v>
      </c>
      <c r="AO1009" cm="1">
        <f t="array" ref="AO1009">PRODUCT(_xlfn.XLOOKUP(AI1009:AM1009,$B$3:$B$6,$C$3:$C$6))</f>
        <v>0</v>
      </c>
      <c r="AP1009">
        <f t="shared" si="45"/>
        <v>0</v>
      </c>
    </row>
    <row r="1010" spans="35:42" x14ac:dyDescent="0.2">
      <c r="AI1010">
        <v>5</v>
      </c>
      <c r="AJ1010">
        <v>5</v>
      </c>
      <c r="AK1010">
        <v>5</v>
      </c>
      <c r="AL1010">
        <v>2</v>
      </c>
      <c r="AM1010">
        <v>2</v>
      </c>
      <c r="AN1010">
        <f t="shared" si="44"/>
        <v>500</v>
      </c>
      <c r="AO1010" cm="1">
        <f t="array" ref="AO1010">PRODUCT(_xlfn.XLOOKUP(AI1010:AM1010,$B$3:$B$6,$C$3:$C$6))</f>
        <v>2.0995199999999997E-3</v>
      </c>
      <c r="AP1010">
        <f t="shared" si="45"/>
        <v>1.0497599999999998</v>
      </c>
    </row>
    <row r="1011" spans="35:42" x14ac:dyDescent="0.2">
      <c r="AI1011">
        <v>5</v>
      </c>
      <c r="AJ1011">
        <v>5</v>
      </c>
      <c r="AK1011">
        <v>5</v>
      </c>
      <c r="AL1011">
        <v>2</v>
      </c>
      <c r="AM1011">
        <v>3</v>
      </c>
      <c r="AN1011">
        <f t="shared" si="44"/>
        <v>750</v>
      </c>
      <c r="AO1011" cm="1">
        <f t="array" ref="AO1011">PRODUCT(_xlfn.XLOOKUP(AI1011:AM1011,$B$3:$B$6,$C$3:$C$6))</f>
        <v>7.698239999999999E-4</v>
      </c>
      <c r="AP1011">
        <f t="shared" si="45"/>
        <v>0.57736799999999988</v>
      </c>
    </row>
    <row r="1012" spans="35:42" x14ac:dyDescent="0.2">
      <c r="AI1012">
        <v>5</v>
      </c>
      <c r="AJ1012">
        <v>5</v>
      </c>
      <c r="AK1012">
        <v>5</v>
      </c>
      <c r="AL1012">
        <v>2</v>
      </c>
      <c r="AM1012">
        <v>4</v>
      </c>
      <c r="AN1012">
        <f t="shared" si="44"/>
        <v>1000</v>
      </c>
      <c r="AO1012" cm="1">
        <f t="array" ref="AO1012">PRODUCT(_xlfn.XLOOKUP(AI1012:AM1012,$B$3:$B$6,$C$3:$C$6))</f>
        <v>0</v>
      </c>
      <c r="AP1012">
        <f t="shared" si="45"/>
        <v>0</v>
      </c>
    </row>
    <row r="1013" spans="35:42" x14ac:dyDescent="0.2">
      <c r="AI1013">
        <v>5</v>
      </c>
      <c r="AJ1013">
        <v>5</v>
      </c>
      <c r="AK1013">
        <v>5</v>
      </c>
      <c r="AL1013">
        <v>2</v>
      </c>
      <c r="AM1013">
        <v>5</v>
      </c>
      <c r="AN1013">
        <f t="shared" si="44"/>
        <v>1250</v>
      </c>
      <c r="AO1013" cm="1">
        <f t="array" ref="AO1013">PRODUCT(_xlfn.XLOOKUP(AI1013:AM1013,$B$3:$B$6,$C$3:$C$6))</f>
        <v>6.2985599999999993E-4</v>
      </c>
      <c r="AP1013">
        <f t="shared" si="45"/>
        <v>0.78731999999999991</v>
      </c>
    </row>
    <row r="1014" spans="35:42" x14ac:dyDescent="0.2">
      <c r="AI1014">
        <v>5</v>
      </c>
      <c r="AJ1014">
        <v>5</v>
      </c>
      <c r="AK1014">
        <v>5</v>
      </c>
      <c r="AL1014">
        <v>3</v>
      </c>
      <c r="AM1014">
        <v>2</v>
      </c>
      <c r="AN1014">
        <f t="shared" si="44"/>
        <v>750</v>
      </c>
      <c r="AO1014" cm="1">
        <f t="array" ref="AO1014">PRODUCT(_xlfn.XLOOKUP(AI1014:AM1014,$B$3:$B$6,$C$3:$C$6))</f>
        <v>7.698239999999999E-4</v>
      </c>
      <c r="AP1014">
        <f t="shared" si="45"/>
        <v>0.57736799999999988</v>
      </c>
    </row>
    <row r="1015" spans="35:42" x14ac:dyDescent="0.2">
      <c r="AI1015">
        <v>5</v>
      </c>
      <c r="AJ1015">
        <v>5</v>
      </c>
      <c r="AK1015">
        <v>5</v>
      </c>
      <c r="AL1015">
        <v>3</v>
      </c>
      <c r="AM1015">
        <v>3</v>
      </c>
      <c r="AN1015">
        <f t="shared" si="44"/>
        <v>1125</v>
      </c>
      <c r="AO1015" cm="1">
        <f t="array" ref="AO1015">PRODUCT(_xlfn.XLOOKUP(AI1015:AM1015,$B$3:$B$6,$C$3:$C$6))</f>
        <v>2.8226879999999996E-4</v>
      </c>
      <c r="AP1015">
        <f t="shared" si="45"/>
        <v>0.31755239999999996</v>
      </c>
    </row>
    <row r="1016" spans="35:42" x14ac:dyDescent="0.2">
      <c r="AI1016">
        <v>5</v>
      </c>
      <c r="AJ1016">
        <v>5</v>
      </c>
      <c r="AK1016">
        <v>5</v>
      </c>
      <c r="AL1016">
        <v>3</v>
      </c>
      <c r="AM1016">
        <v>4</v>
      </c>
      <c r="AN1016">
        <f t="shared" si="44"/>
        <v>1500</v>
      </c>
      <c r="AO1016" cm="1">
        <f t="array" ref="AO1016">PRODUCT(_xlfn.XLOOKUP(AI1016:AM1016,$B$3:$B$6,$C$3:$C$6))</f>
        <v>0</v>
      </c>
      <c r="AP1016">
        <f t="shared" si="45"/>
        <v>0</v>
      </c>
    </row>
    <row r="1017" spans="35:42" x14ac:dyDescent="0.2">
      <c r="AI1017">
        <v>5</v>
      </c>
      <c r="AJ1017">
        <v>5</v>
      </c>
      <c r="AK1017">
        <v>5</v>
      </c>
      <c r="AL1017">
        <v>3</v>
      </c>
      <c r="AM1017">
        <v>5</v>
      </c>
      <c r="AN1017">
        <f t="shared" si="44"/>
        <v>1875</v>
      </c>
      <c r="AO1017" cm="1">
        <f t="array" ref="AO1017">PRODUCT(_xlfn.XLOOKUP(AI1017:AM1017,$B$3:$B$6,$C$3:$C$6))</f>
        <v>2.3094719999999997E-4</v>
      </c>
      <c r="AP1017">
        <f t="shared" si="45"/>
        <v>0.43302599999999997</v>
      </c>
    </row>
    <row r="1018" spans="35:42" x14ac:dyDescent="0.2">
      <c r="AI1018">
        <v>5</v>
      </c>
      <c r="AJ1018">
        <v>5</v>
      </c>
      <c r="AK1018">
        <v>5</v>
      </c>
      <c r="AL1018">
        <v>4</v>
      </c>
      <c r="AM1018">
        <v>2</v>
      </c>
      <c r="AN1018">
        <f t="shared" si="44"/>
        <v>1000</v>
      </c>
      <c r="AO1018" cm="1">
        <f t="array" ref="AO1018">PRODUCT(_xlfn.XLOOKUP(AI1018:AM1018,$B$3:$B$6,$C$3:$C$6))</f>
        <v>0</v>
      </c>
      <c r="AP1018">
        <f t="shared" si="45"/>
        <v>0</v>
      </c>
    </row>
    <row r="1019" spans="35:42" x14ac:dyDescent="0.2">
      <c r="AI1019">
        <v>5</v>
      </c>
      <c r="AJ1019">
        <v>5</v>
      </c>
      <c r="AK1019">
        <v>5</v>
      </c>
      <c r="AL1019">
        <v>4</v>
      </c>
      <c r="AM1019">
        <v>3</v>
      </c>
      <c r="AN1019">
        <f t="shared" si="44"/>
        <v>1500</v>
      </c>
      <c r="AO1019" cm="1">
        <f t="array" ref="AO1019">PRODUCT(_xlfn.XLOOKUP(AI1019:AM1019,$B$3:$B$6,$C$3:$C$6))</f>
        <v>0</v>
      </c>
      <c r="AP1019">
        <f t="shared" si="45"/>
        <v>0</v>
      </c>
    </row>
    <row r="1020" spans="35:42" x14ac:dyDescent="0.2">
      <c r="AI1020">
        <v>5</v>
      </c>
      <c r="AJ1020">
        <v>5</v>
      </c>
      <c r="AK1020">
        <v>5</v>
      </c>
      <c r="AL1020">
        <v>4</v>
      </c>
      <c r="AM1020">
        <v>4</v>
      </c>
      <c r="AN1020">
        <f t="shared" si="44"/>
        <v>2000</v>
      </c>
      <c r="AO1020" cm="1">
        <f t="array" ref="AO1020">PRODUCT(_xlfn.XLOOKUP(AI1020:AM1020,$B$3:$B$6,$C$3:$C$6))</f>
        <v>0</v>
      </c>
      <c r="AP1020">
        <f t="shared" si="45"/>
        <v>0</v>
      </c>
    </row>
    <row r="1021" spans="35:42" x14ac:dyDescent="0.2">
      <c r="AI1021">
        <v>5</v>
      </c>
      <c r="AJ1021">
        <v>5</v>
      </c>
      <c r="AK1021">
        <v>5</v>
      </c>
      <c r="AL1021">
        <v>4</v>
      </c>
      <c r="AM1021">
        <v>5</v>
      </c>
      <c r="AN1021">
        <f t="shared" si="44"/>
        <v>2500</v>
      </c>
      <c r="AO1021" cm="1">
        <f t="array" ref="AO1021">PRODUCT(_xlfn.XLOOKUP(AI1021:AM1021,$B$3:$B$6,$C$3:$C$6))</f>
        <v>0</v>
      </c>
      <c r="AP1021">
        <f t="shared" si="45"/>
        <v>0</v>
      </c>
    </row>
    <row r="1022" spans="35:42" x14ac:dyDescent="0.2">
      <c r="AI1022">
        <v>5</v>
      </c>
      <c r="AJ1022">
        <v>5</v>
      </c>
      <c r="AK1022">
        <v>5</v>
      </c>
      <c r="AL1022">
        <v>5</v>
      </c>
      <c r="AM1022">
        <v>2</v>
      </c>
      <c r="AN1022">
        <f t="shared" si="44"/>
        <v>1250</v>
      </c>
      <c r="AO1022" cm="1">
        <f t="array" ref="AO1022">PRODUCT(_xlfn.XLOOKUP(AI1022:AM1022,$B$3:$B$6,$C$3:$C$6))</f>
        <v>6.2985599999999993E-4</v>
      </c>
      <c r="AP1022">
        <f t="shared" si="45"/>
        <v>0.78731999999999991</v>
      </c>
    </row>
    <row r="1023" spans="35:42" x14ac:dyDescent="0.2">
      <c r="AI1023">
        <v>5</v>
      </c>
      <c r="AJ1023">
        <v>5</v>
      </c>
      <c r="AK1023">
        <v>5</v>
      </c>
      <c r="AL1023">
        <v>5</v>
      </c>
      <c r="AM1023">
        <v>3</v>
      </c>
      <c r="AN1023">
        <f t="shared" si="44"/>
        <v>1875</v>
      </c>
      <c r="AO1023" cm="1">
        <f t="array" ref="AO1023">PRODUCT(_xlfn.XLOOKUP(AI1023:AM1023,$B$3:$B$6,$C$3:$C$6))</f>
        <v>2.3094719999999997E-4</v>
      </c>
      <c r="AP1023">
        <f t="shared" si="45"/>
        <v>0.43302599999999997</v>
      </c>
    </row>
    <row r="1024" spans="35:42" x14ac:dyDescent="0.2">
      <c r="AI1024">
        <v>5</v>
      </c>
      <c r="AJ1024">
        <v>5</v>
      </c>
      <c r="AK1024">
        <v>5</v>
      </c>
      <c r="AL1024">
        <v>5</v>
      </c>
      <c r="AM1024">
        <v>4</v>
      </c>
      <c r="AN1024">
        <f t="shared" si="44"/>
        <v>2500</v>
      </c>
      <c r="AO1024" cm="1">
        <f t="array" ref="AO1024">PRODUCT(_xlfn.XLOOKUP(AI1024:AM1024,$B$3:$B$6,$C$3:$C$6))</f>
        <v>0</v>
      </c>
      <c r="AP1024">
        <f t="shared" si="45"/>
        <v>0</v>
      </c>
    </row>
    <row r="1025" spans="35:42" x14ac:dyDescent="0.2">
      <c r="AI1025">
        <v>5</v>
      </c>
      <c r="AJ1025">
        <v>5</v>
      </c>
      <c r="AK1025">
        <v>5</v>
      </c>
      <c r="AL1025">
        <v>5</v>
      </c>
      <c r="AM1025">
        <v>5</v>
      </c>
      <c r="AN1025">
        <f t="shared" si="44"/>
        <v>3125</v>
      </c>
      <c r="AO1025" cm="1">
        <f t="array" ref="AO1025">PRODUCT(_xlfn.XLOOKUP(AI1025:AM1025,$B$3:$B$6,$C$3:$C$6))</f>
        <v>1.8895679999999997E-4</v>
      </c>
      <c r="AP1025">
        <f t="shared" si="45"/>
        <v>0.59048999999999996</v>
      </c>
    </row>
  </sheetData>
  <phoneticPr fontId="1" type="noConversion"/>
  <pageMargins left="0.7" right="0.7" top="0.75" bottom="0.75" header="0.3" footer="0.3"/>
  <ignoredErrors>
    <ignoredError sqref="N2:N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total rtp</vt:lpstr>
      <vt:lpstr>line prabability check</vt:lpstr>
      <vt:lpstr>ball combine if wild</vt:lpstr>
      <vt:lpstr>ball combine if not wild</vt:lpstr>
      <vt:lpstr>rtp before multiplier</vt:lpstr>
      <vt:lpstr>multipier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2026-01-06T09:07:57Z</dcterms:created>
  <dcterms:modified xsi:type="dcterms:W3CDTF">2026-02-24T05:42:30Z</dcterms:modified>
</cp:coreProperties>
</file>